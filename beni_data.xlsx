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2\Documents\BENI DASHBOARD\"/>
    </mc:Choice>
  </mc:AlternateContent>
  <bookViews>
    <workbookView xWindow="0" yWindow="0" windowWidth="28800" windowHeight="12300"/>
  </bookViews>
  <sheets>
    <sheet name="BENI_Data" sheetId="1" r:id="rId1"/>
    <sheet name="Dashboard" sheetId="2" r:id="rId2"/>
  </sheets>
  <calcPr calcId="162913"/>
</workbook>
</file>

<file path=xl/calcChain.xml><?xml version="1.0" encoding="utf-8"?>
<calcChain xmlns="http://schemas.openxmlformats.org/spreadsheetml/2006/main">
  <c r="P24" i="1" l="1"/>
  <c r="R24" i="1" s="1"/>
  <c r="O24" i="1"/>
  <c r="P23" i="1" l="1"/>
  <c r="R23" i="1" s="1"/>
  <c r="O23" i="1"/>
  <c r="S22" i="1" l="1"/>
  <c r="R22" i="1" l="1"/>
  <c r="O22" i="1"/>
  <c r="P22" i="1"/>
  <c r="O18" i="1" l="1"/>
  <c r="P18" i="1"/>
  <c r="R18" i="1"/>
  <c r="S18" i="1"/>
  <c r="O19" i="1"/>
  <c r="P19" i="1"/>
  <c r="R19" i="1" s="1"/>
  <c r="S19" i="1"/>
  <c r="O20" i="1"/>
  <c r="S20" i="1" s="1"/>
  <c r="P20" i="1"/>
  <c r="R20" i="1" s="1"/>
  <c r="O21" i="1"/>
  <c r="P21" i="1"/>
  <c r="R21" i="1"/>
  <c r="S21" i="1"/>
  <c r="P17" i="1" l="1"/>
  <c r="R17" i="1" s="1"/>
  <c r="P16" i="1"/>
  <c r="R16" i="1" s="1"/>
  <c r="O17" i="1"/>
  <c r="O16" i="1"/>
  <c r="S15" i="1"/>
  <c r="S14" i="1"/>
  <c r="S13" i="1"/>
  <c r="S12" i="1"/>
  <c r="S11" i="1"/>
  <c r="S10" i="1"/>
  <c r="S9" i="1"/>
  <c r="S8" i="1"/>
  <c r="S7" i="1"/>
  <c r="S6" i="1"/>
  <c r="S5" i="1"/>
  <c r="S2" i="1"/>
  <c r="R15" i="1" l="1"/>
  <c r="O15" i="1"/>
  <c r="P15" i="1"/>
  <c r="R14" i="1"/>
  <c r="P14" i="1"/>
  <c r="O14" i="1"/>
  <c r="R13" i="1"/>
  <c r="P13" i="1"/>
  <c r="O13" i="1"/>
  <c r="R12" i="1"/>
  <c r="O12" i="1"/>
  <c r="O2" i="1"/>
  <c r="O3" i="1"/>
  <c r="O4" i="1"/>
  <c r="O5" i="1"/>
  <c r="O6" i="1"/>
  <c r="O7" i="1"/>
  <c r="O8" i="1"/>
  <c r="O9" i="1"/>
  <c r="O10" i="1"/>
  <c r="P12" i="1"/>
  <c r="R11" i="1"/>
  <c r="O11" i="1"/>
  <c r="P11" i="1"/>
  <c r="R10" i="1"/>
  <c r="P10" i="1"/>
  <c r="R9" i="1"/>
  <c r="P9" i="1"/>
  <c r="P4" i="1"/>
  <c r="R4" i="1" s="1"/>
  <c r="P3" i="1"/>
  <c r="R3" i="1" s="1"/>
  <c r="P2" i="1"/>
  <c r="R2" i="1" s="1"/>
  <c r="B3" i="2" l="1"/>
  <c r="P8" i="1"/>
  <c r="P7" i="1"/>
  <c r="P6" i="1"/>
  <c r="R6" i="1" s="1"/>
  <c r="P5" i="1"/>
  <c r="R7" i="1" l="1"/>
  <c r="R5" i="1"/>
  <c r="R8" i="1"/>
  <c r="B4" i="2" l="1"/>
  <c r="B6" i="2" l="1"/>
  <c r="B5" i="2"/>
</calcChain>
</file>

<file path=xl/sharedStrings.xml><?xml version="1.0" encoding="utf-8"?>
<sst xmlns="http://schemas.openxmlformats.org/spreadsheetml/2006/main" count="167" uniqueCount="93">
  <si>
    <t>Fecha</t>
  </si>
  <si>
    <t>Liga</t>
  </si>
  <si>
    <t>Mercado</t>
  </si>
  <si>
    <t>Cuota</t>
  </si>
  <si>
    <t>Home Goals</t>
  </si>
  <si>
    <t>Away Goals</t>
  </si>
  <si>
    <t>xG Home</t>
  </si>
  <si>
    <t>xG Away</t>
  </si>
  <si>
    <t>xGA Home</t>
  </si>
  <si>
    <t>xGA Away</t>
  </si>
  <si>
    <t>xG Combinado</t>
  </si>
  <si>
    <t>Prob Implícita</t>
  </si>
  <si>
    <t>Super Liga Suiza</t>
  </si>
  <si>
    <t>BTTS</t>
  </si>
  <si>
    <t>Dinamarca</t>
  </si>
  <si>
    <t>Eredivisie</t>
  </si>
  <si>
    <t>Eerste Divisie</t>
  </si>
  <si>
    <t>BENI Model Dashboard</t>
  </si>
  <si>
    <t>Total partidos</t>
  </si>
  <si>
    <t>EDGE medio</t>
  </si>
  <si>
    <t>GREEN detectados</t>
  </si>
  <si>
    <t>PREMIUM detectados</t>
  </si>
  <si>
    <t>5 de marzo</t>
  </si>
  <si>
    <t>6 de marzo</t>
  </si>
  <si>
    <t>7 de marzo</t>
  </si>
  <si>
    <t>Prob BENI</t>
  </si>
  <si>
    <t>EDGE</t>
  </si>
  <si>
    <t>4 de marzo</t>
  </si>
  <si>
    <t>Mexico</t>
  </si>
  <si>
    <t>Premier League</t>
  </si>
  <si>
    <t>2. Bundesliga</t>
  </si>
  <si>
    <t>PERFIL BTTS</t>
  </si>
  <si>
    <t>Bundesliga</t>
  </si>
  <si>
    <t>1. Liga Polonia</t>
  </si>
  <si>
    <t>A</t>
  </si>
  <si>
    <t>8 de marzo</t>
  </si>
  <si>
    <t>3. Bundesliga</t>
  </si>
  <si>
    <t>SUDAMERICAN BTTS</t>
  </si>
  <si>
    <t>Super Liga Serbia</t>
  </si>
  <si>
    <t>Home</t>
  </si>
  <si>
    <t>Away</t>
  </si>
  <si>
    <t>Newcastle</t>
  </si>
  <si>
    <t>Man United</t>
  </si>
  <si>
    <t>Lugano</t>
  </si>
  <si>
    <t>Puebla</t>
  </si>
  <si>
    <t>Thun</t>
  </si>
  <si>
    <t>Aalborg</t>
  </si>
  <si>
    <t>Heracles</t>
  </si>
  <si>
    <t>Roda</t>
  </si>
  <si>
    <t>Paderborn</t>
  </si>
  <si>
    <t>Köln</t>
  </si>
  <si>
    <t>Atlas</t>
  </si>
  <si>
    <t>Mannheim</t>
  </si>
  <si>
    <t>Nurnberg</t>
  </si>
  <si>
    <t>Fortuna Düsseldorf</t>
  </si>
  <si>
    <t>Jong PSV</t>
  </si>
  <si>
    <t>Utrecht</t>
  </si>
  <si>
    <t>Aarhus</t>
  </si>
  <si>
    <t>St Gallen</t>
  </si>
  <si>
    <t>Tigres UNAL</t>
  </si>
  <si>
    <t>Sion</t>
  </si>
  <si>
    <t>Braunschweig</t>
  </si>
  <si>
    <t>RW Essen</t>
  </si>
  <si>
    <t>Hoffenheim II</t>
  </si>
  <si>
    <t>RB Leipzig</t>
  </si>
  <si>
    <t>Chroby</t>
  </si>
  <si>
    <t>Miedź Legnica</t>
  </si>
  <si>
    <t>Stal Rzeszów</t>
  </si>
  <si>
    <t>Borussia Dortmund</t>
  </si>
  <si>
    <t>Cruz Azul</t>
  </si>
  <si>
    <t>Go Ahead Eagles</t>
  </si>
  <si>
    <t xml:space="preserve"> Twente</t>
  </si>
  <si>
    <t xml:space="preserve">Duisburg </t>
  </si>
  <si>
    <t>Saarbrucken</t>
  </si>
  <si>
    <t>Lausanne</t>
  </si>
  <si>
    <t xml:space="preserve">Grasshopper </t>
  </si>
  <si>
    <t>vs IMT Novi</t>
  </si>
  <si>
    <t xml:space="preserve">Subotica </t>
  </si>
  <si>
    <t>BTTS Home</t>
  </si>
  <si>
    <t>BTTS Away</t>
  </si>
  <si>
    <t>Guadalajara</t>
  </si>
  <si>
    <t>Havelse</t>
  </si>
  <si>
    <t>Augsburgo</t>
  </si>
  <si>
    <t>Pogón</t>
  </si>
  <si>
    <t>Atletico San Luis</t>
  </si>
  <si>
    <t>Liga Polonia</t>
  </si>
  <si>
    <t>Legia</t>
  </si>
  <si>
    <t>Cracovia</t>
  </si>
  <si>
    <t>Ingolsdat</t>
  </si>
  <si>
    <t>Verl</t>
  </si>
  <si>
    <t>RESULTADO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</si>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</sst>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9" fontId="1" fillId="0" borderId="0" xfId="1" applyFont="1" applyAlignment="1">
      <alignment horizontal="center"/>
    </xf>
    <xf numFmtId="0" fontId="0" fillId="0" borderId="0" xfId="0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9" fontId="2" fillId="0" borderId="0" xfId="1" applyFont="1" applyAlignment="1">
      <alignment horizontal="center"/>
    </xf>
    <xf numFmtId="49" fontId="0" fillId="0" borderId="0" xfId="0" applyNumberFormat="1" applyFont="1" applyFill="1" applyAlignment="1">
      <alignment horizontal="center"/>
    </xf>
    <xf numFmtId="2" fontId="0" fillId="0" borderId="0" xfId="0" applyNumberFormat="1" applyFont="1" applyAlignment="1">
      <alignment horizontal="center"/>
    </xf>
    <xf numFmtId="49" fontId="0" fillId="0" borderId="0" xfId="0" applyNumberFormat="1" applyFont="1" applyAlignment="1">
      <alignment horizontal="center"/>
    </xf>
    <xf numFmtId="49" fontId="0" fillId="0" borderId="0" xfId="0" applyNumberFormat="1" applyFon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0" fontId="1" fillId="0" borderId="0" xfId="1" applyNumberFormat="1" applyFont="1" applyAlignment="1">
      <alignment horizontal="center"/>
    </xf>
    <xf numFmtId="0" fontId="0" fillId="0" borderId="0" xfId="0" applyNumberFormat="1" applyFont="1" applyAlignment="1">
      <alignment horizontal="center"/>
    </xf>
    <xf numFmtId="0" fontId="2" fillId="0" borderId="0" xfId="1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49" fontId="1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 vertical="center" wrapText="1"/>
    </xf>
    <xf numFmtId="49" fontId="0" fillId="0" borderId="0" xfId="0" applyNumberFormat="1" applyFont="1" applyFill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36">
    <dxf>
      <font>
        <b/>
        <i val="0"/>
      </font>
      <fill>
        <patternFill>
          <bgColor theme="6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theme="6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fill>
        <patternFill>
          <bgColor rgb="FF00B050"/>
        </patternFill>
      </fill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/>
      </font>
      <numFmt numFmtId="0" formatCode="General"/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tabSelected="1" zoomScale="80" zoomScaleNormal="80" workbookViewId="0">
      <selection activeCell="A17" sqref="A17:XFD17"/>
    </sheetView>
  </sheetViews>
  <sheetFormatPr baseColWidth="10" defaultColWidth="9.140625" defaultRowHeight="15" x14ac:dyDescent="0.25"/>
  <cols>
    <col min="1" max="1" width="18" style="7" customWidth="1"/>
    <col min="2" max="2" width="22.5703125" style="7" customWidth="1"/>
    <col min="3" max="3" width="19.140625" style="7" customWidth="1"/>
    <col min="4" max="4" width="25.42578125" style="7" customWidth="1"/>
    <col min="5" max="5" width="18" style="7" customWidth="1"/>
    <col min="6" max="6" width="12.42578125" style="7" customWidth="1"/>
    <col min="7" max="7" width="12.85546875" style="7" customWidth="1"/>
    <col min="8" max="8" width="12.140625" style="7" customWidth="1"/>
    <col min="9" max="9" width="11.85546875" style="13" customWidth="1"/>
    <col min="10" max="10" width="11.5703125" style="13" customWidth="1"/>
    <col min="11" max="11" width="13.85546875" style="13" customWidth="1"/>
    <col min="12" max="12" width="13.42578125" style="13" customWidth="1"/>
    <col min="13" max="13" width="17.140625" style="4" customWidth="1"/>
    <col min="14" max="14" width="16.28515625" style="4" customWidth="1"/>
    <col min="15" max="15" width="18" style="13" customWidth="1"/>
    <col min="16" max="16" width="16.5703125" style="11" customWidth="1"/>
    <col min="17" max="17" width="16.140625" style="4" customWidth="1"/>
    <col min="18" max="18" width="10.140625" style="11" customWidth="1"/>
    <col min="19" max="19" width="27" style="19" customWidth="1"/>
    <col min="20" max="20" width="14.7109375" style="7" customWidth="1"/>
    <col min="21" max="21" width="13.7109375" style="14" customWidth="1"/>
    <col min="22" max="22" width="11.7109375" style="14" customWidth="1"/>
    <col min="23" max="23" width="17" customWidth="1"/>
  </cols>
  <sheetData>
    <row r="1" spans="1:22" x14ac:dyDescent="0.25">
      <c r="A1" s="2" t="s">
        <v>0</v>
      </c>
      <c r="B1" s="2" t="s">
        <v>1</v>
      </c>
      <c r="C1" s="2" t="s">
        <v>39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8" t="s">
        <v>78</v>
      </c>
      <c r="N1" s="8" t="s">
        <v>79</v>
      </c>
      <c r="O1" s="6" t="s">
        <v>10</v>
      </c>
      <c r="P1" s="8" t="s">
        <v>11</v>
      </c>
      <c r="Q1" s="8" t="s">
        <v>25</v>
      </c>
      <c r="R1" s="8" t="s">
        <v>26</v>
      </c>
      <c r="S1" s="17" t="s">
        <v>31</v>
      </c>
      <c r="T1" s="2" t="s">
        <v>90</v>
      </c>
      <c r="U1" s="21"/>
      <c r="V1" s="5"/>
    </row>
    <row r="2" spans="1:22" x14ac:dyDescent="0.25">
      <c r="A2" s="7" t="s">
        <v>27</v>
      </c>
      <c r="B2" s="7" t="s">
        <v>29</v>
      </c>
      <c r="C2" s="7" t="s">
        <v>41</v>
      </c>
      <c r="D2" s="7" t="s">
        <v>42</v>
      </c>
      <c r="E2" s="7" t="s">
        <v>13</v>
      </c>
      <c r="F2" s="7">
        <v>1.42</v>
      </c>
      <c r="G2" s="7">
        <v>2</v>
      </c>
      <c r="H2" s="7">
        <v>1</v>
      </c>
      <c r="I2" s="10">
        <v>1.72</v>
      </c>
      <c r="J2" s="10">
        <v>1.58</v>
      </c>
      <c r="K2" s="10">
        <v>1.33</v>
      </c>
      <c r="L2" s="10">
        <v>1.37</v>
      </c>
      <c r="M2" s="16">
        <v>0.71</v>
      </c>
      <c r="N2" s="16">
        <v>0.86</v>
      </c>
      <c r="O2" s="13">
        <f t="shared" ref="O2:O4" si="0">I2+J2</f>
        <v>3.3</v>
      </c>
      <c r="P2" s="11">
        <f t="shared" ref="P2:P4" si="1">1/F2</f>
        <v>0.70422535211267612</v>
      </c>
      <c r="Q2" s="4">
        <v>0.75</v>
      </c>
      <c r="R2" s="11">
        <f t="shared" ref="R2:R17" si="2">Q2-P2</f>
        <v>4.5774647887323883E-2</v>
      </c>
      <c r="S2" s="20" t="str">
        <f>IF(AND(OR(M2&gt;=75%,(M2+N2)/2&gt;=75%),N2&gt;=75%,K2&gt;=1.5,L2&gt;=1.5,O2&gt;=3.6),"SUPER BTTS",
IF(AND(OR(M2&gt;=70%,(M2+N2)/2&gt;=70%),N2&gt;=70%,K2&gt;=1.4,L2&gt;=1.4,O2&gt;=3.2),"PREMIUM BTTS",
IF(AND(OR(M2&gt;=63%,(M2+N2)/2&gt;=63%),N2&gt;=63%,K2&gt;=1.3,L2&gt;=1.3,O2&gt;=3),"S+ BTTS","")))</f>
        <v>S+ BTTS</v>
      </c>
      <c r="T2" s="7" t="s">
        <v>91</v>
      </c>
      <c r="U2" s="12"/>
      <c r="V2" s="12"/>
    </row>
    <row r="3" spans="1:22" x14ac:dyDescent="0.25">
      <c r="A3" s="7" t="s">
        <v>27</v>
      </c>
      <c r="B3" s="7" t="s">
        <v>12</v>
      </c>
      <c r="C3" s="7" t="s">
        <v>43</v>
      </c>
      <c r="D3" s="7" t="s">
        <v>60</v>
      </c>
      <c r="E3" s="7" t="s">
        <v>13</v>
      </c>
      <c r="F3" s="7">
        <v>1.7</v>
      </c>
      <c r="G3" s="7">
        <v>2</v>
      </c>
      <c r="H3" s="7">
        <v>1</v>
      </c>
      <c r="I3" s="10">
        <v>1.29</v>
      </c>
      <c r="J3" s="10">
        <v>1.44</v>
      </c>
      <c r="K3" s="10">
        <v>1.55</v>
      </c>
      <c r="L3" s="10">
        <v>1.4</v>
      </c>
      <c r="M3" s="16">
        <v>0.77</v>
      </c>
      <c r="N3" s="16">
        <v>0.69</v>
      </c>
      <c r="O3" s="13">
        <f t="shared" si="0"/>
        <v>2.73</v>
      </c>
      <c r="P3" s="11">
        <f t="shared" si="1"/>
        <v>0.58823529411764708</v>
      </c>
      <c r="Q3" s="4">
        <v>0.63</v>
      </c>
      <c r="R3" s="11">
        <f t="shared" si="2"/>
        <v>4.1764705882352926E-2</v>
      </c>
      <c r="S3" s="20" t="s">
        <v>34</v>
      </c>
      <c r="T3" s="7" t="s">
        <v>91</v>
      </c>
      <c r="U3" s="12"/>
      <c r="V3" s="12"/>
    </row>
    <row r="4" spans="1:22" x14ac:dyDescent="0.25">
      <c r="A4" s="7" t="s">
        <v>27</v>
      </c>
      <c r="B4" s="7" t="s">
        <v>28</v>
      </c>
      <c r="C4" s="7" t="s">
        <v>44</v>
      </c>
      <c r="D4" s="7" t="s">
        <v>59</v>
      </c>
      <c r="E4" s="7" t="s">
        <v>13</v>
      </c>
      <c r="F4" s="7">
        <v>1.7</v>
      </c>
      <c r="G4" s="7">
        <v>3</v>
      </c>
      <c r="H4" s="7">
        <v>1</v>
      </c>
      <c r="I4" s="13">
        <v>1.43</v>
      </c>
      <c r="J4" s="10">
        <v>1.52</v>
      </c>
      <c r="K4" s="10">
        <v>1.53</v>
      </c>
      <c r="L4" s="10">
        <v>1.5</v>
      </c>
      <c r="M4" s="16">
        <v>0.5</v>
      </c>
      <c r="N4" s="16">
        <v>0.73</v>
      </c>
      <c r="O4" s="13">
        <f t="shared" si="0"/>
        <v>2.95</v>
      </c>
      <c r="P4" s="11">
        <f t="shared" si="1"/>
        <v>0.58823529411764708</v>
      </c>
      <c r="Q4" s="4">
        <v>0.66</v>
      </c>
      <c r="R4" s="11">
        <f t="shared" si="2"/>
        <v>7.1764705882352953E-2</v>
      </c>
      <c r="S4" s="3" t="s">
        <v>37</v>
      </c>
      <c r="T4" s="7" t="s">
        <v>91</v>
      </c>
      <c r="U4" s="12"/>
      <c r="V4" s="12"/>
    </row>
    <row r="5" spans="1:22" x14ac:dyDescent="0.25">
      <c r="A5" s="7" t="s">
        <v>22</v>
      </c>
      <c r="B5" s="7" t="s">
        <v>12</v>
      </c>
      <c r="C5" s="7" t="s">
        <v>45</v>
      </c>
      <c r="D5" s="7" t="s">
        <v>58</v>
      </c>
      <c r="E5" s="7" t="s">
        <v>13</v>
      </c>
      <c r="F5" s="7">
        <v>1.42</v>
      </c>
      <c r="G5" s="7">
        <v>2</v>
      </c>
      <c r="H5" s="7">
        <v>2</v>
      </c>
      <c r="I5" s="13">
        <v>1.78</v>
      </c>
      <c r="J5" s="13">
        <v>1.69</v>
      </c>
      <c r="K5" s="13">
        <v>1.61</v>
      </c>
      <c r="L5" s="13">
        <v>1.74</v>
      </c>
      <c r="M5" s="4">
        <v>0.67</v>
      </c>
      <c r="N5" s="4">
        <v>0.71</v>
      </c>
      <c r="O5" s="13">
        <f t="shared" ref="O5:O17" si="3">I5+J5</f>
        <v>3.4699999999999998</v>
      </c>
      <c r="P5" s="11">
        <f t="shared" ref="P5:P15" si="4">1/F5</f>
        <v>0.70422535211267612</v>
      </c>
      <c r="Q5" s="4">
        <v>0.75</v>
      </c>
      <c r="R5" s="11">
        <f t="shared" si="2"/>
        <v>4.5774647887323883E-2</v>
      </c>
      <c r="S5" s="20" t="str">
        <f t="shared" ref="S5:S15" si="5">IF(AND(OR(M5&gt;=75%,(M5+N5)/2&gt;=75%),N5&gt;=75%,K5&gt;=1.5,L5&gt;=1.5,O5&gt;=3.6),"SUPER BTTS",
IF(AND(OR(M5&gt;=70%,(M5+N5)/2&gt;=70%),N5&gt;=70%,K5&gt;=1.4,L5&gt;=1.4,O5&gt;=3.2),"PREMIUM BTTS",
IF(AND(OR(M5&gt;=63%,(M5+N5)/2&gt;=63%),N5&gt;=63%,K5&gt;=1.3,L5&gt;=1.3,O5&gt;=3),"S+ BTTS","")))</f>
        <v>S+ BTTS</v>
      </c>
      <c r="T5" s="7" t="s">
        <v>91</v>
      </c>
      <c r="U5" s="12"/>
      <c r="V5" s="12"/>
    </row>
    <row r="6" spans="1:22" x14ac:dyDescent="0.25">
      <c r="A6" s="7" t="s">
        <v>23</v>
      </c>
      <c r="B6" s="7" t="s">
        <v>14</v>
      </c>
      <c r="C6" s="7" t="s">
        <v>46</v>
      </c>
      <c r="D6" s="7" t="s">
        <v>57</v>
      </c>
      <c r="E6" s="7" t="s">
        <v>13</v>
      </c>
      <c r="F6" s="7">
        <v>1.61</v>
      </c>
      <c r="G6" s="7">
        <v>0</v>
      </c>
      <c r="H6" s="7">
        <v>1</v>
      </c>
      <c r="I6" s="10">
        <v>1.81</v>
      </c>
      <c r="J6" s="10">
        <v>1.66</v>
      </c>
      <c r="K6" s="10">
        <v>1.63</v>
      </c>
      <c r="L6" s="10">
        <v>1.71</v>
      </c>
      <c r="M6" s="16">
        <v>0.68</v>
      </c>
      <c r="N6" s="16">
        <v>0.7</v>
      </c>
      <c r="O6" s="13">
        <f t="shared" si="3"/>
        <v>3.4699999999999998</v>
      </c>
      <c r="P6" s="11">
        <f t="shared" si="4"/>
        <v>0.6211180124223602</v>
      </c>
      <c r="Q6" s="16">
        <v>0.7</v>
      </c>
      <c r="R6" s="11">
        <f t="shared" si="2"/>
        <v>7.8881987577639756E-2</v>
      </c>
      <c r="S6" s="20" t="str">
        <f t="shared" si="5"/>
        <v>S+ BTTS</v>
      </c>
      <c r="T6" s="7" t="s">
        <v>92</v>
      </c>
      <c r="U6" s="12"/>
      <c r="V6" s="12"/>
    </row>
    <row r="7" spans="1:22" x14ac:dyDescent="0.25">
      <c r="A7" s="7" t="s">
        <v>23</v>
      </c>
      <c r="B7" s="7" t="s">
        <v>15</v>
      </c>
      <c r="C7" s="7" t="s">
        <v>47</v>
      </c>
      <c r="D7" s="7" t="s">
        <v>56</v>
      </c>
      <c r="E7" s="7" t="s">
        <v>13</v>
      </c>
      <c r="F7" s="7">
        <v>1.66</v>
      </c>
      <c r="G7" s="7">
        <v>0</v>
      </c>
      <c r="H7" s="7">
        <v>0</v>
      </c>
      <c r="I7" s="10">
        <v>1.74</v>
      </c>
      <c r="J7" s="10">
        <v>1.72</v>
      </c>
      <c r="K7" s="10">
        <v>1.68</v>
      </c>
      <c r="L7" s="10">
        <v>1.7</v>
      </c>
      <c r="M7" s="16">
        <v>0.69</v>
      </c>
      <c r="N7" s="16">
        <v>0.72</v>
      </c>
      <c r="O7" s="13">
        <f t="shared" si="3"/>
        <v>3.46</v>
      </c>
      <c r="P7" s="11">
        <f t="shared" si="4"/>
        <v>0.60240963855421692</v>
      </c>
      <c r="Q7" s="16">
        <v>0.7</v>
      </c>
      <c r="R7" s="11">
        <f t="shared" si="2"/>
        <v>9.7590361445783036E-2</v>
      </c>
      <c r="S7" s="20" t="str">
        <f t="shared" si="5"/>
        <v>PREMIUM BTTS</v>
      </c>
      <c r="T7" s="7" t="s">
        <v>92</v>
      </c>
      <c r="U7" s="12"/>
    </row>
    <row r="8" spans="1:22" x14ac:dyDescent="0.25">
      <c r="A8" s="7" t="s">
        <v>23</v>
      </c>
      <c r="B8" s="7" t="s">
        <v>16</v>
      </c>
      <c r="C8" s="7" t="s">
        <v>48</v>
      </c>
      <c r="D8" s="7" t="s">
        <v>55</v>
      </c>
      <c r="E8" s="7" t="s">
        <v>13</v>
      </c>
      <c r="F8" s="7">
        <v>1.42</v>
      </c>
      <c r="G8" s="7">
        <v>0</v>
      </c>
      <c r="H8" s="7">
        <v>2</v>
      </c>
      <c r="I8" s="10">
        <v>1.85</v>
      </c>
      <c r="J8" s="10">
        <v>1.73</v>
      </c>
      <c r="K8" s="10">
        <v>1.64</v>
      </c>
      <c r="L8" s="10">
        <v>1.82</v>
      </c>
      <c r="M8" s="16">
        <v>0.7</v>
      </c>
      <c r="N8" s="16">
        <v>0.74</v>
      </c>
      <c r="O8" s="13">
        <f t="shared" si="3"/>
        <v>3.58</v>
      </c>
      <c r="P8" s="11">
        <f t="shared" si="4"/>
        <v>0.70422535211267612</v>
      </c>
      <c r="Q8" s="16">
        <v>0.75</v>
      </c>
      <c r="R8" s="11">
        <f t="shared" si="2"/>
        <v>4.5774647887323883E-2</v>
      </c>
      <c r="S8" s="20" t="str">
        <f t="shared" si="5"/>
        <v>PREMIUM BTTS</v>
      </c>
      <c r="T8" s="7" t="s">
        <v>92</v>
      </c>
      <c r="U8" s="12"/>
    </row>
    <row r="9" spans="1:22" x14ac:dyDescent="0.25">
      <c r="A9" s="7" t="s">
        <v>24</v>
      </c>
      <c r="B9" s="9" t="s">
        <v>30</v>
      </c>
      <c r="C9" s="9" t="s">
        <v>53</v>
      </c>
      <c r="D9" s="9" t="s">
        <v>54</v>
      </c>
      <c r="E9" s="7" t="s">
        <v>13</v>
      </c>
      <c r="F9" s="9">
        <v>1.55</v>
      </c>
      <c r="G9" s="7">
        <v>0</v>
      </c>
      <c r="H9" s="7">
        <v>1</v>
      </c>
      <c r="I9" s="9">
        <v>1.58</v>
      </c>
      <c r="J9" s="9">
        <v>1.47</v>
      </c>
      <c r="K9" s="10">
        <v>1.41</v>
      </c>
      <c r="L9" s="13">
        <v>1.64</v>
      </c>
      <c r="M9" s="4">
        <v>0.67</v>
      </c>
      <c r="N9" s="4">
        <v>0.64</v>
      </c>
      <c r="O9" s="13">
        <f t="shared" si="3"/>
        <v>3.05</v>
      </c>
      <c r="P9" s="11">
        <f t="shared" si="4"/>
        <v>0.64516129032258063</v>
      </c>
      <c r="Q9" s="4">
        <v>0.7</v>
      </c>
      <c r="R9" s="11">
        <f t="shared" si="2"/>
        <v>5.4838709677419328E-2</v>
      </c>
      <c r="S9" s="20" t="str">
        <f t="shared" si="5"/>
        <v>S+ BTTS</v>
      </c>
      <c r="T9" s="7" t="s">
        <v>92</v>
      </c>
      <c r="U9" s="12"/>
    </row>
    <row r="10" spans="1:22" x14ac:dyDescent="0.25">
      <c r="A10" s="7" t="s">
        <v>24</v>
      </c>
      <c r="B10" s="9" t="s">
        <v>30</v>
      </c>
      <c r="C10" s="9" t="s">
        <v>49</v>
      </c>
      <c r="D10" s="7" t="s">
        <v>61</v>
      </c>
      <c r="E10" s="7" t="s">
        <v>13</v>
      </c>
      <c r="F10" s="7">
        <v>1.75</v>
      </c>
      <c r="G10" s="7">
        <v>1</v>
      </c>
      <c r="H10" s="7">
        <v>1</v>
      </c>
      <c r="I10" s="13">
        <v>1.98</v>
      </c>
      <c r="J10" s="13">
        <v>1.42</v>
      </c>
      <c r="K10" s="13">
        <v>1.34</v>
      </c>
      <c r="L10" s="13">
        <v>1.36</v>
      </c>
      <c r="M10" s="4">
        <v>0.75</v>
      </c>
      <c r="N10" s="4">
        <v>0.64</v>
      </c>
      <c r="O10" s="13">
        <f t="shared" si="3"/>
        <v>3.4</v>
      </c>
      <c r="P10" s="11">
        <f t="shared" si="4"/>
        <v>0.5714285714285714</v>
      </c>
      <c r="Q10" s="4">
        <v>0.65</v>
      </c>
      <c r="R10" s="11">
        <f t="shared" si="2"/>
        <v>7.8571428571428625E-2</v>
      </c>
      <c r="S10" s="20" t="str">
        <f t="shared" si="5"/>
        <v>S+ BTTS</v>
      </c>
      <c r="T10" s="7" t="s">
        <v>91</v>
      </c>
      <c r="U10" s="12"/>
    </row>
    <row r="11" spans="1:22" x14ac:dyDescent="0.25">
      <c r="A11" s="7" t="s">
        <v>24</v>
      </c>
      <c r="B11" s="9" t="s">
        <v>30</v>
      </c>
      <c r="C11" s="9" t="s">
        <v>63</v>
      </c>
      <c r="D11" s="7" t="s">
        <v>62</v>
      </c>
      <c r="E11" s="7" t="s">
        <v>13</v>
      </c>
      <c r="F11" s="9">
        <v>1.44</v>
      </c>
      <c r="G11" s="9">
        <v>2</v>
      </c>
      <c r="H11" s="9">
        <v>4</v>
      </c>
      <c r="I11" s="10">
        <v>1.83</v>
      </c>
      <c r="J11" s="13">
        <v>1.74</v>
      </c>
      <c r="K11" s="10">
        <v>1.42</v>
      </c>
      <c r="L11" s="10">
        <v>1.5</v>
      </c>
      <c r="M11" s="16">
        <v>0.79</v>
      </c>
      <c r="N11" s="16">
        <v>0.85</v>
      </c>
      <c r="O11" s="13">
        <f t="shared" si="3"/>
        <v>3.5700000000000003</v>
      </c>
      <c r="P11" s="11">
        <f t="shared" si="4"/>
        <v>0.69444444444444442</v>
      </c>
      <c r="Q11" s="4">
        <v>0.75</v>
      </c>
      <c r="R11" s="11">
        <f t="shared" si="2"/>
        <v>5.555555555555558E-2</v>
      </c>
      <c r="S11" s="20" t="str">
        <f t="shared" si="5"/>
        <v>PREMIUM BTTS</v>
      </c>
      <c r="T11" s="7" t="s">
        <v>91</v>
      </c>
      <c r="U11" s="12"/>
    </row>
    <row r="12" spans="1:22" x14ac:dyDescent="0.25">
      <c r="A12" s="7" t="s">
        <v>24</v>
      </c>
      <c r="B12" s="9" t="s">
        <v>32</v>
      </c>
      <c r="C12" s="9" t="s">
        <v>50</v>
      </c>
      <c r="D12" s="3" t="s">
        <v>68</v>
      </c>
      <c r="E12" s="7" t="s">
        <v>13</v>
      </c>
      <c r="F12" s="9">
        <v>1.55</v>
      </c>
      <c r="G12" s="9">
        <v>1</v>
      </c>
      <c r="H12" s="9">
        <v>2</v>
      </c>
      <c r="I12" s="10">
        <v>1.53</v>
      </c>
      <c r="J12" s="13">
        <v>1.5</v>
      </c>
      <c r="K12" s="10">
        <v>1.46</v>
      </c>
      <c r="L12" s="10">
        <v>1.37</v>
      </c>
      <c r="M12" s="16">
        <v>0.83</v>
      </c>
      <c r="N12" s="16">
        <v>0.67</v>
      </c>
      <c r="O12" s="13">
        <f t="shared" si="3"/>
        <v>3.0300000000000002</v>
      </c>
      <c r="P12" s="11">
        <f t="shared" si="4"/>
        <v>0.64516129032258063</v>
      </c>
      <c r="Q12" s="4">
        <v>0.72</v>
      </c>
      <c r="R12" s="11">
        <f t="shared" si="2"/>
        <v>7.4838709677419346E-2</v>
      </c>
      <c r="S12" s="20" t="str">
        <f t="shared" si="5"/>
        <v>S+ BTTS</v>
      </c>
      <c r="T12" s="7" t="s">
        <v>91</v>
      </c>
      <c r="U12" s="12"/>
    </row>
    <row r="13" spans="1:22" x14ac:dyDescent="0.25">
      <c r="A13" s="7" t="s">
        <v>24</v>
      </c>
      <c r="B13" s="9" t="s">
        <v>32</v>
      </c>
      <c r="C13" s="9" t="s">
        <v>64</v>
      </c>
      <c r="D13" s="9" t="s">
        <v>82</v>
      </c>
      <c r="E13" s="7" t="s">
        <v>13</v>
      </c>
      <c r="F13" s="9">
        <v>1.57</v>
      </c>
      <c r="G13" s="9">
        <v>2</v>
      </c>
      <c r="H13" s="7">
        <v>1</v>
      </c>
      <c r="I13" s="10">
        <v>1.94</v>
      </c>
      <c r="J13" s="13">
        <v>1.43</v>
      </c>
      <c r="K13" s="10">
        <v>1.32</v>
      </c>
      <c r="L13" s="10">
        <v>1.5</v>
      </c>
      <c r="M13" s="16">
        <v>0.67</v>
      </c>
      <c r="N13" s="16">
        <v>0.64</v>
      </c>
      <c r="O13" s="13">
        <f t="shared" si="3"/>
        <v>3.37</v>
      </c>
      <c r="P13" s="11">
        <f t="shared" si="4"/>
        <v>0.63694267515923564</v>
      </c>
      <c r="Q13" s="4">
        <v>0.68</v>
      </c>
      <c r="R13" s="11">
        <f t="shared" si="2"/>
        <v>4.305732484076441E-2</v>
      </c>
      <c r="S13" s="20" t="str">
        <f t="shared" si="5"/>
        <v>S+ BTTS</v>
      </c>
      <c r="T13" s="7" t="s">
        <v>91</v>
      </c>
      <c r="U13" s="12"/>
    </row>
    <row r="14" spans="1:22" x14ac:dyDescent="0.25">
      <c r="A14" s="7" t="s">
        <v>24</v>
      </c>
      <c r="B14" s="9" t="s">
        <v>33</v>
      </c>
      <c r="C14" s="9" t="s">
        <v>65</v>
      </c>
      <c r="D14" s="3" t="s">
        <v>83</v>
      </c>
      <c r="E14" s="7" t="s">
        <v>13</v>
      </c>
      <c r="F14" s="9">
        <v>1.57</v>
      </c>
      <c r="G14" s="9">
        <v>3</v>
      </c>
      <c r="H14" s="9">
        <v>0</v>
      </c>
      <c r="I14" s="10">
        <v>1.87</v>
      </c>
      <c r="J14" s="13">
        <v>1.69</v>
      </c>
      <c r="K14" s="10">
        <v>1.53</v>
      </c>
      <c r="L14" s="10">
        <v>1.81</v>
      </c>
      <c r="M14" s="16">
        <v>0.55000000000000004</v>
      </c>
      <c r="N14" s="16">
        <v>0.73</v>
      </c>
      <c r="O14" s="13">
        <f t="shared" si="3"/>
        <v>3.56</v>
      </c>
      <c r="P14" s="11">
        <f t="shared" si="4"/>
        <v>0.63694267515923564</v>
      </c>
      <c r="Q14" s="4">
        <v>0.67</v>
      </c>
      <c r="R14" s="11">
        <f t="shared" si="2"/>
        <v>3.3057324840764402E-2</v>
      </c>
      <c r="S14" s="20" t="str">
        <f t="shared" si="5"/>
        <v>S+ BTTS</v>
      </c>
      <c r="T14" s="7" t="s">
        <v>92</v>
      </c>
      <c r="U14" s="22"/>
    </row>
    <row r="15" spans="1:22" x14ac:dyDescent="0.25">
      <c r="A15" s="7" t="s">
        <v>24</v>
      </c>
      <c r="B15" s="9" t="s">
        <v>33</v>
      </c>
      <c r="C15" s="9" t="s">
        <v>66</v>
      </c>
      <c r="D15" s="9" t="s">
        <v>67</v>
      </c>
      <c r="E15" s="7" t="s">
        <v>13</v>
      </c>
      <c r="F15" s="9">
        <v>1.42</v>
      </c>
      <c r="G15" s="9">
        <v>2</v>
      </c>
      <c r="H15" s="9">
        <v>1</v>
      </c>
      <c r="I15" s="10">
        <v>1.66</v>
      </c>
      <c r="J15" s="10">
        <v>1.58</v>
      </c>
      <c r="K15" s="10">
        <v>1.59</v>
      </c>
      <c r="L15" s="10">
        <v>1.86</v>
      </c>
      <c r="M15" s="16">
        <v>0.82</v>
      </c>
      <c r="N15" s="4">
        <v>0.73</v>
      </c>
      <c r="O15" s="13">
        <f t="shared" si="3"/>
        <v>3.24</v>
      </c>
      <c r="P15" s="11">
        <f t="shared" si="4"/>
        <v>0.70422535211267612</v>
      </c>
      <c r="Q15" s="4">
        <v>0.74</v>
      </c>
      <c r="R15" s="11">
        <f t="shared" si="2"/>
        <v>3.5774647887323874E-2</v>
      </c>
      <c r="S15" s="20" t="str">
        <f t="shared" si="5"/>
        <v>PREMIUM BTTS</v>
      </c>
      <c r="T15" s="7" t="s">
        <v>91</v>
      </c>
      <c r="U15" s="12"/>
    </row>
    <row r="16" spans="1:22" x14ac:dyDescent="0.25">
      <c r="A16" s="7" t="s">
        <v>24</v>
      </c>
      <c r="B16" s="7" t="s">
        <v>28</v>
      </c>
      <c r="C16" s="7" t="s">
        <v>51</v>
      </c>
      <c r="D16" s="3" t="s">
        <v>80</v>
      </c>
      <c r="E16" s="7" t="s">
        <v>13</v>
      </c>
      <c r="F16" s="9">
        <v>1.83</v>
      </c>
      <c r="G16" s="9">
        <v>1</v>
      </c>
      <c r="H16" s="9">
        <v>2</v>
      </c>
      <c r="I16" s="10">
        <v>1.32</v>
      </c>
      <c r="J16" s="10">
        <v>1.49</v>
      </c>
      <c r="K16" s="10">
        <v>1.62</v>
      </c>
      <c r="L16" s="10">
        <v>1.05</v>
      </c>
      <c r="M16" s="16">
        <v>0.62</v>
      </c>
      <c r="N16" s="4">
        <v>0.5</v>
      </c>
      <c r="O16" s="13">
        <f t="shared" si="3"/>
        <v>2.81</v>
      </c>
      <c r="P16" s="11">
        <f t="shared" ref="P16:P22" si="6">1/F16</f>
        <v>0.54644808743169393</v>
      </c>
      <c r="Q16" s="4">
        <v>0.64</v>
      </c>
      <c r="R16" s="11">
        <f t="shared" si="2"/>
        <v>9.3551912568306084E-2</v>
      </c>
      <c r="S16" s="3" t="s">
        <v>37</v>
      </c>
      <c r="T16" s="7" t="s">
        <v>91</v>
      </c>
      <c r="U16" s="23"/>
      <c r="V16" s="15"/>
    </row>
    <row r="17" spans="1:22" x14ac:dyDescent="0.25">
      <c r="A17" s="7" t="s">
        <v>24</v>
      </c>
      <c r="B17" s="7" t="s">
        <v>28</v>
      </c>
      <c r="C17" s="7" t="s">
        <v>69</v>
      </c>
      <c r="D17" s="9" t="s">
        <v>84</v>
      </c>
      <c r="E17" s="7" t="s">
        <v>13</v>
      </c>
      <c r="F17" s="9">
        <v>1.85</v>
      </c>
      <c r="G17" s="9">
        <v>3</v>
      </c>
      <c r="H17" s="9">
        <v>0</v>
      </c>
      <c r="I17" s="10">
        <v>2.0699999999999998</v>
      </c>
      <c r="J17" s="10">
        <v>1.38</v>
      </c>
      <c r="K17" s="10">
        <v>0.95</v>
      </c>
      <c r="L17" s="10">
        <v>1.39</v>
      </c>
      <c r="M17" s="16">
        <v>0.67</v>
      </c>
      <c r="N17" s="4">
        <v>0.69</v>
      </c>
      <c r="O17" s="13">
        <f t="shared" si="3"/>
        <v>3.4499999999999997</v>
      </c>
      <c r="P17" s="11">
        <f t="shared" si="6"/>
        <v>0.54054054054054046</v>
      </c>
      <c r="Q17" s="4">
        <v>0.69</v>
      </c>
      <c r="R17" s="11">
        <f t="shared" si="2"/>
        <v>0.14945945945945949</v>
      </c>
      <c r="S17" s="3" t="s">
        <v>37</v>
      </c>
      <c r="T17" s="7" t="s">
        <v>92</v>
      </c>
      <c r="U17" s="23"/>
      <c r="V17" s="15"/>
    </row>
    <row r="18" spans="1:22" x14ac:dyDescent="0.25">
      <c r="A18" s="7" t="s">
        <v>35</v>
      </c>
      <c r="B18" s="9" t="s">
        <v>36</v>
      </c>
      <c r="C18" s="9" t="s">
        <v>52</v>
      </c>
      <c r="D18" s="3" t="s">
        <v>81</v>
      </c>
      <c r="E18" s="7" t="s">
        <v>13</v>
      </c>
      <c r="F18" s="9">
        <v>1.53</v>
      </c>
      <c r="G18" s="9">
        <v>3</v>
      </c>
      <c r="H18" s="9">
        <v>1</v>
      </c>
      <c r="I18" s="10">
        <v>1.54</v>
      </c>
      <c r="J18" s="10">
        <v>1.49</v>
      </c>
      <c r="K18" s="10">
        <v>1.6</v>
      </c>
      <c r="L18" s="10">
        <v>1.92</v>
      </c>
      <c r="M18" s="16">
        <v>0.62</v>
      </c>
      <c r="N18" s="4">
        <v>0.85</v>
      </c>
      <c r="O18" s="13">
        <f t="shared" ref="O18:O24" si="7">I18+J18</f>
        <v>3.0300000000000002</v>
      </c>
      <c r="P18" s="11">
        <f t="shared" si="6"/>
        <v>0.65359477124183007</v>
      </c>
      <c r="Q18" s="4">
        <v>0.7</v>
      </c>
      <c r="R18" s="11">
        <f t="shared" ref="R18:R24" si="8">Q18-P18</f>
        <v>4.6405228758169881E-2</v>
      </c>
      <c r="S18" s="18" t="str">
        <f t="shared" ref="S18:S22" si="9">IF(AND(OR(M18&gt;=75%,(M18+N18)/2&gt;=75%),N18&gt;=75%,K18&gt;=1.5,L18&gt;=1.5,O18&gt;=3.6),"SUPER BTTS",
IF(AND(OR(M18&gt;=70%,(M18+N18)/2&gt;=70%),N18&gt;=70%,K18&gt;=1.4,L18&gt;=1.4,O18&gt;=3.2),"PREMIUM BTTS",
IF(AND(OR(M18&gt;=63%,(M18+N18)/2&gt;=63%),N18&gt;=63%,K18&gt;=1.3,L18&gt;=1.3,O18&gt;=3),"S+ BTTS","")))</f>
        <v>S+ BTTS</v>
      </c>
      <c r="T18" s="7" t="s">
        <v>91</v>
      </c>
      <c r="U18" s="23"/>
    </row>
    <row r="19" spans="1:22" x14ac:dyDescent="0.25">
      <c r="A19" s="7" t="s">
        <v>35</v>
      </c>
      <c r="B19" s="7" t="s">
        <v>15</v>
      </c>
      <c r="C19" s="7" t="s">
        <v>70</v>
      </c>
      <c r="D19" s="9" t="s">
        <v>71</v>
      </c>
      <c r="E19" s="7" t="s">
        <v>13</v>
      </c>
      <c r="F19" s="9">
        <v>1.53</v>
      </c>
      <c r="G19" s="9">
        <v>1</v>
      </c>
      <c r="H19" s="9">
        <v>4</v>
      </c>
      <c r="I19" s="10">
        <v>1.69</v>
      </c>
      <c r="J19" s="10">
        <v>2</v>
      </c>
      <c r="K19" s="10">
        <v>1.64</v>
      </c>
      <c r="L19" s="10">
        <v>1.37</v>
      </c>
      <c r="M19" s="16">
        <v>0.67</v>
      </c>
      <c r="N19" s="4">
        <v>0.75</v>
      </c>
      <c r="O19" s="13">
        <f t="shared" si="7"/>
        <v>3.69</v>
      </c>
      <c r="P19" s="11">
        <f t="shared" si="6"/>
        <v>0.65359477124183007</v>
      </c>
      <c r="Q19" s="4">
        <v>0.72</v>
      </c>
      <c r="R19" s="11">
        <f t="shared" si="8"/>
        <v>6.6405228758169899E-2</v>
      </c>
      <c r="S19" s="18" t="str">
        <f t="shared" si="9"/>
        <v>S+ BTTS</v>
      </c>
      <c r="T19" s="7" t="s">
        <v>91</v>
      </c>
      <c r="U19" s="23"/>
    </row>
    <row r="20" spans="1:22" x14ac:dyDescent="0.25">
      <c r="A20" s="7" t="s">
        <v>35</v>
      </c>
      <c r="B20" s="9" t="s">
        <v>36</v>
      </c>
      <c r="C20" s="9" t="s">
        <v>72</v>
      </c>
      <c r="D20" s="9" t="s">
        <v>73</v>
      </c>
      <c r="E20" s="7" t="s">
        <v>13</v>
      </c>
      <c r="F20" s="9">
        <v>1.62</v>
      </c>
      <c r="G20" s="9">
        <v>4</v>
      </c>
      <c r="H20" s="9">
        <v>2</v>
      </c>
      <c r="I20" s="10">
        <v>1.75</v>
      </c>
      <c r="J20" s="10">
        <v>1.44</v>
      </c>
      <c r="K20" s="10">
        <v>1.32</v>
      </c>
      <c r="L20" s="10">
        <v>1.63</v>
      </c>
      <c r="M20" s="16">
        <v>0.85</v>
      </c>
      <c r="N20" s="4">
        <v>0.64</v>
      </c>
      <c r="O20" s="13">
        <f t="shared" si="7"/>
        <v>3.19</v>
      </c>
      <c r="P20" s="11">
        <f t="shared" si="6"/>
        <v>0.61728395061728392</v>
      </c>
      <c r="Q20" s="4">
        <v>0.7</v>
      </c>
      <c r="R20" s="11">
        <f t="shared" si="8"/>
        <v>8.2716049382716039E-2</v>
      </c>
      <c r="S20" s="18" t="str">
        <f t="shared" si="9"/>
        <v>S+ BTTS</v>
      </c>
      <c r="T20" s="7" t="s">
        <v>91</v>
      </c>
      <c r="U20" s="23"/>
    </row>
    <row r="21" spans="1:22" x14ac:dyDescent="0.25">
      <c r="A21" s="7" t="s">
        <v>35</v>
      </c>
      <c r="B21" s="7" t="s">
        <v>12</v>
      </c>
      <c r="C21" s="7" t="s">
        <v>75</v>
      </c>
      <c r="D21" s="7" t="s">
        <v>74</v>
      </c>
      <c r="E21" s="7" t="s">
        <v>13</v>
      </c>
      <c r="F21" s="7">
        <v>1.55</v>
      </c>
      <c r="G21" s="7">
        <v>2</v>
      </c>
      <c r="H21" s="7">
        <v>3</v>
      </c>
      <c r="I21" s="13">
        <v>1.44</v>
      </c>
      <c r="J21" s="13">
        <v>1.63</v>
      </c>
      <c r="K21" s="13">
        <v>1.49</v>
      </c>
      <c r="L21" s="13">
        <v>1.55</v>
      </c>
      <c r="M21" s="4">
        <v>0.71</v>
      </c>
      <c r="N21" s="4">
        <v>0.71</v>
      </c>
      <c r="O21" s="13">
        <f t="shared" si="7"/>
        <v>3.07</v>
      </c>
      <c r="P21" s="11">
        <f t="shared" si="6"/>
        <v>0.64516129032258063</v>
      </c>
      <c r="Q21" s="4">
        <v>0.69</v>
      </c>
      <c r="R21" s="11">
        <f t="shared" si="8"/>
        <v>4.4838709677419319E-2</v>
      </c>
      <c r="S21" s="18" t="str">
        <f t="shared" si="9"/>
        <v>S+ BTTS</v>
      </c>
      <c r="T21" s="7" t="s">
        <v>91</v>
      </c>
    </row>
    <row r="22" spans="1:22" x14ac:dyDescent="0.25">
      <c r="A22" s="7" t="s">
        <v>35</v>
      </c>
      <c r="B22" s="7" t="s">
        <v>38</v>
      </c>
      <c r="C22" s="7" t="s">
        <v>77</v>
      </c>
      <c r="D22" s="7" t="s">
        <v>76</v>
      </c>
      <c r="E22" s="7" t="s">
        <v>13</v>
      </c>
      <c r="F22" s="7">
        <v>1.75</v>
      </c>
      <c r="G22" s="7">
        <v>0</v>
      </c>
      <c r="H22" s="7">
        <v>1</v>
      </c>
      <c r="I22" s="13">
        <v>1.38</v>
      </c>
      <c r="J22" s="13">
        <v>1.28</v>
      </c>
      <c r="K22" s="13">
        <v>1.8</v>
      </c>
      <c r="L22" s="13">
        <v>1.65</v>
      </c>
      <c r="M22" s="4">
        <v>0.83</v>
      </c>
      <c r="N22" s="4">
        <v>0.75</v>
      </c>
      <c r="O22" s="13">
        <f t="shared" si="7"/>
        <v>2.66</v>
      </c>
      <c r="P22" s="11">
        <f t="shared" si="6"/>
        <v>0.5714285714285714</v>
      </c>
      <c r="Q22" s="4">
        <v>0.7</v>
      </c>
      <c r="R22" s="11">
        <f t="shared" si="8"/>
        <v>0.12857142857142856</v>
      </c>
      <c r="S22" s="18" t="str">
        <f t="shared" si="9"/>
        <v/>
      </c>
      <c r="T22" s="7" t="s">
        <v>92</v>
      </c>
    </row>
    <row r="23" spans="1:22" x14ac:dyDescent="0.25">
      <c r="A23" s="7" t="s">
        <v>35</v>
      </c>
      <c r="B23" s="7" t="s">
        <v>85</v>
      </c>
      <c r="C23" s="7" t="s">
        <v>86</v>
      </c>
      <c r="D23" s="7" t="s">
        <v>87</v>
      </c>
      <c r="E23" s="7" t="s">
        <v>13</v>
      </c>
      <c r="F23" s="7">
        <v>1.94</v>
      </c>
      <c r="G23" s="7">
        <v>1</v>
      </c>
      <c r="H23" s="7">
        <v>0</v>
      </c>
      <c r="I23" s="13">
        <v>1.83</v>
      </c>
      <c r="J23" s="13">
        <v>1.25</v>
      </c>
      <c r="K23" s="13">
        <v>1.29</v>
      </c>
      <c r="L23" s="13">
        <v>1.55</v>
      </c>
      <c r="M23" s="4">
        <v>0.55000000000000004</v>
      </c>
      <c r="N23" s="4">
        <v>0.42</v>
      </c>
      <c r="O23" s="13">
        <f t="shared" si="7"/>
        <v>3.08</v>
      </c>
      <c r="P23" s="11">
        <f>1/F23</f>
        <v>0.51546391752577325</v>
      </c>
      <c r="Q23" s="4">
        <v>0.57999999999999996</v>
      </c>
      <c r="R23" s="11">
        <f t="shared" si="8"/>
        <v>6.4536082474226708E-2</v>
      </c>
      <c r="S23" s="18"/>
      <c r="T23" s="7" t="s">
        <v>92</v>
      </c>
    </row>
    <row r="24" spans="1:22" x14ac:dyDescent="0.25">
      <c r="A24" s="7" t="s">
        <v>35</v>
      </c>
      <c r="B24" s="9" t="s">
        <v>36</v>
      </c>
      <c r="C24" s="7" t="s">
        <v>88</v>
      </c>
      <c r="D24" s="7" t="s">
        <v>89</v>
      </c>
      <c r="E24" s="7" t="s">
        <v>13</v>
      </c>
      <c r="F24" s="7">
        <v>1.4</v>
      </c>
      <c r="G24" s="7">
        <v>1</v>
      </c>
      <c r="H24" s="7">
        <v>2</v>
      </c>
      <c r="I24" s="13">
        <v>1.83</v>
      </c>
      <c r="J24" s="13">
        <v>1.74</v>
      </c>
      <c r="K24" s="13">
        <v>1.61</v>
      </c>
      <c r="L24" s="13">
        <v>1.29</v>
      </c>
      <c r="M24" s="4">
        <v>0.77</v>
      </c>
      <c r="N24" s="4">
        <v>0.79</v>
      </c>
      <c r="O24" s="13">
        <f t="shared" si="7"/>
        <v>3.5700000000000003</v>
      </c>
      <c r="P24" s="11">
        <f t="shared" ref="P24" si="10">1/F24</f>
        <v>0.7142857142857143</v>
      </c>
      <c r="Q24" s="4">
        <v>0.76</v>
      </c>
      <c r="R24" s="11">
        <f t="shared" si="8"/>
        <v>4.5714285714285707E-2</v>
      </c>
      <c r="S24" s="18"/>
      <c r="T24" s="7" t="s">
        <v>91</v>
      </c>
    </row>
    <row r="25" spans="1:22" x14ac:dyDescent="0.25">
      <c r="S25" s="18"/>
    </row>
    <row r="26" spans="1:22" x14ac:dyDescent="0.25">
      <c r="S26" s="18"/>
    </row>
    <row r="27" spans="1:22" x14ac:dyDescent="0.25">
      <c r="S27" s="18"/>
    </row>
    <row r="28" spans="1:22" x14ac:dyDescent="0.25">
      <c r="S28" s="18"/>
    </row>
    <row r="29" spans="1:22" x14ac:dyDescent="0.25">
      <c r="S29" s="18"/>
    </row>
    <row r="30" spans="1:22" x14ac:dyDescent="0.25">
      <c r="S30" s="18"/>
    </row>
    <row r="31" spans="1:22" x14ac:dyDescent="0.25">
      <c r="S31" s="18"/>
    </row>
    <row r="32" spans="1:22" x14ac:dyDescent="0.25">
      <c r="S32" s="18"/>
    </row>
    <row r="33" spans="19:19" x14ac:dyDescent="0.25">
      <c r="S33" s="18"/>
    </row>
    <row r="34" spans="19:19" x14ac:dyDescent="0.25">
      <c r="S34" s="18"/>
    </row>
    <row r="35" spans="19:19" x14ac:dyDescent="0.25">
      <c r="S35" s="18"/>
    </row>
    <row r="36" spans="19:19" x14ac:dyDescent="0.25">
      <c r="S36" s="18"/>
    </row>
    <row r="37" spans="19:19" x14ac:dyDescent="0.25">
      <c r="S37" s="18"/>
    </row>
    <row r="38" spans="19:19" x14ac:dyDescent="0.25">
      <c r="S38" s="18"/>
    </row>
  </sheetData>
  <conditionalFormatting sqref="S1 S18:S1048576">
    <cfRule type="containsText" dxfId="35" priority="11" operator="containsText" text="SUPER BTTS">
      <formula>NOT(ISERROR(SEARCH("SUPER BTTS",S1)))</formula>
    </cfRule>
    <cfRule type="cellIs" priority="14" operator="between">
      <formula>"SUPER BTTS"</formula>
      <formula>"SUPER BTTS"</formula>
    </cfRule>
  </conditionalFormatting>
  <conditionalFormatting sqref="U1:U1048576">
    <cfRule type="containsText" dxfId="34" priority="12" operator="containsText" text="NO">
      <formula>NOT(ISERROR(SEARCH("NO",U1)))</formula>
    </cfRule>
    <cfRule type="containsText" dxfId="33" priority="13" operator="containsText" text="YES">
      <formula>NOT(ISERROR(SEARCH("YES",U1)))</formula>
    </cfRule>
  </conditionalFormatting>
  <conditionalFormatting sqref="V7:V9">
    <cfRule type="containsText" dxfId="31" priority="8" operator="containsText" text="NO">
      <formula>NOT(ISERROR(SEARCH("NO",V7)))</formula>
    </cfRule>
    <cfRule type="containsText" dxfId="30" priority="9" operator="containsText" text="YES">
      <formula>NOT(ISERROR(SEARCH("YES",V7)))</formula>
    </cfRule>
  </conditionalFormatting>
  <conditionalFormatting sqref="V16:V17">
    <cfRule type="containsText" dxfId="29" priority="6" operator="containsText" text="NO">
      <formula>NOT(ISERROR(SEARCH("NO",V16)))</formula>
    </cfRule>
    <cfRule type="containsText" dxfId="28" priority="7" operator="containsText" text="YES">
      <formula>NOT(ISERROR(SEARCH("YES",V16)))</formula>
    </cfRule>
  </conditionalFormatting>
  <conditionalFormatting sqref="T1:T1048576">
    <cfRule type="containsText" dxfId="2" priority="2" operator="containsText" text="YES">
      <formula>NOT(ISERROR(SEARCH("YES",T1)))</formula>
    </cfRule>
    <cfRule type="containsText" dxfId="1" priority="1" operator="containsText" text="NO">
      <formula>NOT(ISERROR(SEARCH("NO",T1)))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17</v>
      </c>
    </row>
    <row r="3" spans="1:2" x14ac:dyDescent="0.25">
      <c r="A3" t="s">
        <v>18</v>
      </c>
      <c r="B3">
        <f>COUNTA(BENI_Data!D:D)-1</f>
        <v>23</v>
      </c>
    </row>
    <row r="4" spans="1:2" x14ac:dyDescent="0.25">
      <c r="A4" t="s">
        <v>19</v>
      </c>
      <c r="B4">
        <f>AVERAGE(BENI_Data!R:R)</f>
        <v>6.6313816994128597E-2</v>
      </c>
    </row>
    <row r="5" spans="1:2" x14ac:dyDescent="0.25">
      <c r="A5" t="s">
        <v>20</v>
      </c>
      <c r="B5">
        <f>COUNTIF(BENI_Data!T:T,"GREEN")</f>
        <v>0</v>
      </c>
    </row>
    <row r="6" spans="1:2" x14ac:dyDescent="0.25">
      <c r="A6" t="s">
        <v>21</v>
      </c>
      <c r="B6">
        <f>COUNTIF(BENI_Data!T:T,"PREMIUM")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BENI_Data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X2</cp:lastModifiedBy>
  <dcterms:created xsi:type="dcterms:W3CDTF">2026-03-06T04:55:57Z</dcterms:created>
  <dcterms:modified xsi:type="dcterms:W3CDTF">2026-03-08T22:25:08Z</dcterms:modified>
</cp:coreProperties>
</file>