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2\Documents\BENI DASHBOARD\"/>
    </mc:Choice>
  </mc:AlternateContent>
  <bookViews>
    <workbookView xWindow="0" yWindow="0" windowWidth="28800" windowHeight="12300"/>
  </bookViews>
  <sheets>
    <sheet name="BENI_Data" sheetId="1" r:id="rId1"/>
    <sheet name="Dashboard" sheetId="2" r:id="rId2"/>
  </sheets>
  <calcPr calcId="162913"/>
</workbook>
</file>

<file path=xl/calcChain.xml><?xml version="1.0" encoding="utf-8"?>
<calcChain xmlns="http://schemas.openxmlformats.org/spreadsheetml/2006/main">
  <c r="O66" i="1" l="1"/>
  <c r="O65" i="1"/>
  <c r="O64" i="1"/>
  <c r="O63" i="1"/>
  <c r="O62" i="1"/>
  <c r="P66" i="1"/>
  <c r="P65" i="1"/>
  <c r="P64" i="1"/>
  <c r="R64" i="1" s="1"/>
  <c r="R66" i="1"/>
  <c r="R65" i="1"/>
  <c r="R63" i="1"/>
  <c r="P63" i="1"/>
  <c r="R62" i="1"/>
  <c r="P62" i="1"/>
  <c r="R61" i="1" l="1"/>
  <c r="O61" i="1"/>
  <c r="P61" i="1"/>
  <c r="R60" i="1"/>
  <c r="O60" i="1"/>
  <c r="P60" i="1"/>
  <c r="P59" i="1"/>
  <c r="R59" i="1" s="1"/>
  <c r="P58" i="1"/>
  <c r="R58" i="1" s="1"/>
  <c r="O59" i="1"/>
  <c r="O58" i="1"/>
  <c r="R57" i="1" l="1"/>
  <c r="O57" i="1"/>
  <c r="P57" i="1"/>
  <c r="R56" i="1"/>
  <c r="O56" i="1"/>
  <c r="P56" i="1"/>
  <c r="O55" i="1"/>
  <c r="O54" i="1"/>
  <c r="O53" i="1"/>
  <c r="O52" i="1"/>
  <c r="O51" i="1"/>
  <c r="O50" i="1"/>
  <c r="R55" i="1"/>
  <c r="R54" i="1"/>
  <c r="R53" i="1"/>
  <c r="P55" i="1"/>
  <c r="P54" i="1"/>
  <c r="P53" i="1"/>
  <c r="R52" i="1"/>
  <c r="P52" i="1"/>
  <c r="R51" i="1" l="1"/>
  <c r="R50" i="1"/>
  <c r="P51" i="1"/>
  <c r="P50" i="1"/>
  <c r="R49" i="1"/>
  <c r="R48" i="1"/>
  <c r="P49" i="1"/>
  <c r="P48" i="1"/>
  <c r="O49" i="1"/>
  <c r="O48" i="1"/>
  <c r="O47" i="1"/>
  <c r="O46" i="1"/>
  <c r="O45" i="1"/>
  <c r="O44" i="1"/>
  <c r="O43" i="1"/>
  <c r="O42" i="1"/>
  <c r="O41" i="1"/>
  <c r="R47" i="1"/>
  <c r="P47" i="1"/>
  <c r="R46" i="1" l="1"/>
  <c r="R45" i="1"/>
  <c r="R44" i="1"/>
  <c r="R43" i="1"/>
  <c r="R42" i="1"/>
  <c r="R41" i="1"/>
  <c r="P46" i="1"/>
  <c r="P45" i="1"/>
  <c r="P44" i="1"/>
  <c r="P43" i="1"/>
  <c r="P42" i="1"/>
  <c r="P41" i="1"/>
  <c r="R40" i="1"/>
  <c r="R39" i="1"/>
  <c r="R38" i="1"/>
  <c r="O40" i="1"/>
  <c r="O39" i="1"/>
  <c r="O38" i="1"/>
  <c r="P40" i="1"/>
  <c r="P39" i="1"/>
  <c r="P38" i="1"/>
  <c r="O26" i="1" l="1"/>
  <c r="O30" i="1"/>
  <c r="O29" i="1"/>
  <c r="O28" i="1"/>
  <c r="O27" i="1"/>
  <c r="O37" i="1"/>
  <c r="O36" i="1"/>
  <c r="O35" i="1"/>
  <c r="O34" i="1"/>
  <c r="O33" i="1"/>
  <c r="O32" i="1"/>
  <c r="O31" i="1"/>
  <c r="R37" i="1"/>
  <c r="R36" i="1"/>
  <c r="R35" i="1"/>
  <c r="R34" i="1"/>
  <c r="R32" i="1"/>
  <c r="R31" i="1"/>
  <c r="P30" i="1"/>
  <c r="R30" i="1" s="1"/>
  <c r="P29" i="1"/>
  <c r="R29" i="1" s="1"/>
  <c r="P28" i="1"/>
  <c r="R28" i="1" s="1"/>
  <c r="P27" i="1"/>
  <c r="R27" i="1" s="1"/>
  <c r="P37" i="1"/>
  <c r="P36" i="1"/>
  <c r="P35" i="1"/>
  <c r="P34" i="1"/>
  <c r="P33" i="1"/>
  <c r="R33" i="1" s="1"/>
  <c r="P32" i="1"/>
  <c r="P31" i="1"/>
  <c r="P26" i="1" l="1"/>
  <c r="R26" i="1" s="1"/>
  <c r="O25" i="1"/>
  <c r="P25" i="1"/>
  <c r="R25" i="1" s="1"/>
  <c r="P24" i="1" l="1"/>
  <c r="R24" i="1" s="1"/>
  <c r="O24" i="1"/>
  <c r="P23" i="1" l="1"/>
  <c r="R23" i="1" s="1"/>
  <c r="O23" i="1"/>
  <c r="O22" i="1" l="1"/>
  <c r="P22" i="1"/>
  <c r="R22" i="1" s="1"/>
  <c r="O18" i="1" l="1"/>
  <c r="P18" i="1"/>
  <c r="R18" i="1"/>
  <c r="O19" i="1"/>
  <c r="P19" i="1"/>
  <c r="R19" i="1" s="1"/>
  <c r="O20" i="1"/>
  <c r="P20" i="1"/>
  <c r="R20" i="1" s="1"/>
  <c r="O21" i="1"/>
  <c r="P21" i="1"/>
  <c r="R21" i="1" s="1"/>
  <c r="P17" i="1" l="1"/>
  <c r="R17" i="1" s="1"/>
  <c r="P16" i="1"/>
  <c r="R16" i="1" s="1"/>
  <c r="O17" i="1"/>
  <c r="O16" i="1"/>
  <c r="O15" i="1" l="1"/>
  <c r="P15" i="1"/>
  <c r="R15" i="1" s="1"/>
  <c r="P14" i="1"/>
  <c r="R14" i="1" s="1"/>
  <c r="O14" i="1"/>
  <c r="P13" i="1"/>
  <c r="R13" i="1" s="1"/>
  <c r="O13" i="1"/>
  <c r="R12" i="1"/>
  <c r="O12" i="1"/>
  <c r="O2" i="1"/>
  <c r="O3" i="1"/>
  <c r="O4" i="1"/>
  <c r="O5" i="1"/>
  <c r="O6" i="1"/>
  <c r="O7" i="1"/>
  <c r="O8" i="1"/>
  <c r="O9" i="1"/>
  <c r="O10" i="1"/>
  <c r="P12" i="1"/>
  <c r="O11" i="1"/>
  <c r="P11" i="1"/>
  <c r="R11" i="1" s="1"/>
  <c r="P10" i="1"/>
  <c r="R10" i="1" s="1"/>
  <c r="P9" i="1"/>
  <c r="R9" i="1" s="1"/>
  <c r="P4" i="1"/>
  <c r="R4" i="1" s="1"/>
  <c r="P3" i="1"/>
  <c r="R3" i="1" s="1"/>
  <c r="P2" i="1"/>
  <c r="R2" i="1" s="1"/>
  <c r="B3" i="2" l="1"/>
  <c r="P8" i="1"/>
  <c r="P7" i="1"/>
  <c r="P6" i="1"/>
  <c r="R6" i="1" s="1"/>
  <c r="P5" i="1"/>
  <c r="R7" i="1" l="1"/>
  <c r="R5" i="1"/>
  <c r="R8" i="1"/>
  <c r="B4" i="2" l="1"/>
  <c r="B6" i="2" l="1"/>
  <c r="B5" i="2"/>
</calcChain>
</file>

<file path=xl/sharedStrings.xml><?xml version="1.0" encoding="utf-8"?>
<sst xmlns="http://schemas.openxmlformats.org/spreadsheetml/2006/main" count="276" uniqueCount="180">
  <si>
    <t>Fecha</t>
  </si>
  <si>
    <t>Liga</t>
  </si>
  <si>
    <t>Mercado</t>
  </si>
  <si>
    <t>Cuota</t>
  </si>
  <si>
    <t>Home Goals</t>
  </si>
  <si>
    <t>Away Goals</t>
  </si>
  <si>
    <t>xG Home</t>
  </si>
  <si>
    <t>xG Away</t>
  </si>
  <si>
    <t>xGA Home</t>
  </si>
  <si>
    <t>xGA Away</t>
  </si>
  <si>
    <t>xG Combinado</t>
  </si>
  <si>
    <t>Prob Implícita</t>
  </si>
  <si>
    <t>Super Liga Suiza</t>
  </si>
  <si>
    <t>BTTS</t>
  </si>
  <si>
    <t>Dinamarca</t>
  </si>
  <si>
    <t>Eredivisie</t>
  </si>
  <si>
    <t>Eerste Divisie</t>
  </si>
  <si>
    <t>BENI Model Dashboard</t>
  </si>
  <si>
    <t>Total partidos</t>
  </si>
  <si>
    <t>EDGE medio</t>
  </si>
  <si>
    <t>GREEN detectados</t>
  </si>
  <si>
    <t>PREMIUM detectados</t>
  </si>
  <si>
    <t>Prob BENI</t>
  </si>
  <si>
    <t>EDGE</t>
  </si>
  <si>
    <t>Mexico</t>
  </si>
  <si>
    <t>Premier League</t>
  </si>
  <si>
    <t>2. Bundesliga</t>
  </si>
  <si>
    <t>Bundesliga</t>
  </si>
  <si>
    <t>1. Liga Polonia</t>
  </si>
  <si>
    <t>3. Bundesliga</t>
  </si>
  <si>
    <t>Super Liga Serbia</t>
  </si>
  <si>
    <t>Home</t>
  </si>
  <si>
    <t>Away</t>
  </si>
  <si>
    <t>Newcastle</t>
  </si>
  <si>
    <t>Man United</t>
  </si>
  <si>
    <t>Lugano</t>
  </si>
  <si>
    <t>Puebla</t>
  </si>
  <si>
    <t>Thun</t>
  </si>
  <si>
    <t>Aalborg</t>
  </si>
  <si>
    <t>Heracles</t>
  </si>
  <si>
    <t>Roda</t>
  </si>
  <si>
    <t>Paderborn</t>
  </si>
  <si>
    <t>Köln</t>
  </si>
  <si>
    <t>Atlas</t>
  </si>
  <si>
    <t>Mannheim</t>
  </si>
  <si>
    <t>Nurnberg</t>
  </si>
  <si>
    <t>Fortuna Düsseldorf</t>
  </si>
  <si>
    <t>Jong PSV</t>
  </si>
  <si>
    <t>Utrecht</t>
  </si>
  <si>
    <t>Aarhus</t>
  </si>
  <si>
    <t>St Gallen</t>
  </si>
  <si>
    <t>Tigres UNAL</t>
  </si>
  <si>
    <t>Sion</t>
  </si>
  <si>
    <t>Braunschweig</t>
  </si>
  <si>
    <t>RW Essen</t>
  </si>
  <si>
    <t>Hoffenheim II</t>
  </si>
  <si>
    <t>RB Leipzig</t>
  </si>
  <si>
    <t>Chroby</t>
  </si>
  <si>
    <t>Miedź Legnica</t>
  </si>
  <si>
    <t>Stal Rzeszów</t>
  </si>
  <si>
    <t>Borussia Dortmund</t>
  </si>
  <si>
    <t>Cruz Azul</t>
  </si>
  <si>
    <t>Go Ahead Eagles</t>
  </si>
  <si>
    <t xml:space="preserve"> Twente</t>
  </si>
  <si>
    <t xml:space="preserve">Duisburg </t>
  </si>
  <si>
    <t>Saarbrucken</t>
  </si>
  <si>
    <t>Lausanne</t>
  </si>
  <si>
    <t xml:space="preserve">Grasshopper </t>
  </si>
  <si>
    <t>vs IMT Novi</t>
  </si>
  <si>
    <t xml:space="preserve">Subotica </t>
  </si>
  <si>
    <t>BTTS Home</t>
  </si>
  <si>
    <t>BTTS Away</t>
  </si>
  <si>
    <t>Guadalajara</t>
  </si>
  <si>
    <t>Havelse</t>
  </si>
  <si>
    <t>Augsburgo</t>
  </si>
  <si>
    <t>Pogón</t>
  </si>
  <si>
    <t>Atletico San Luis</t>
  </si>
  <si>
    <t>Liga Polonia</t>
  </si>
  <si>
    <t>Legia</t>
  </si>
  <si>
    <t>Cracovia</t>
  </si>
  <si>
    <t>Ingolsdat</t>
  </si>
  <si>
    <t>Verl</t>
  </si>
  <si>
    <t>Liga Eslovenia</t>
  </si>
  <si>
    <t>WIN</t>
  </si>
  <si>
    <t>Radomlje</t>
  </si>
  <si>
    <t>Bravo</t>
  </si>
  <si>
    <t>Almeria</t>
  </si>
  <si>
    <t>Leonesa</t>
  </si>
  <si>
    <t>Polonia Warzawa</t>
  </si>
  <si>
    <t>Trabzonspor</t>
  </si>
  <si>
    <t>LKS</t>
  </si>
  <si>
    <t>Kayseri</t>
  </si>
  <si>
    <t>Plock</t>
  </si>
  <si>
    <t>Arka</t>
  </si>
  <si>
    <t>Horsens</t>
  </si>
  <si>
    <t>Lyngby</t>
  </si>
  <si>
    <t>Espanyol</t>
  </si>
  <si>
    <t>Oviedo</t>
  </si>
  <si>
    <t>LaLiga</t>
  </si>
  <si>
    <t>2da. Dinamarca</t>
  </si>
  <si>
    <t>2da. Polonia</t>
  </si>
  <si>
    <t>Turkish SuperLig</t>
  </si>
  <si>
    <t>Barcelona</t>
  </si>
  <si>
    <t>Champions League</t>
  </si>
  <si>
    <t>HT 1.5</t>
  </si>
  <si>
    <t>Galatasaray</t>
  </si>
  <si>
    <t>Liverpool</t>
  </si>
  <si>
    <t>Bayern Munich</t>
  </si>
  <si>
    <t>MK Dons</t>
  </si>
  <si>
    <t>Atalanta</t>
  </si>
  <si>
    <t>Atletico Madrid</t>
  </si>
  <si>
    <t>Tottenham</t>
  </si>
  <si>
    <t>Gillingham</t>
  </si>
  <si>
    <t>Championship</t>
  </si>
  <si>
    <t>Wrexham</t>
  </si>
  <si>
    <t>Hull City</t>
  </si>
  <si>
    <t>3. Inglaterra</t>
  </si>
  <si>
    <t>Liga Argentina</t>
  </si>
  <si>
    <t>Union Santa Fe</t>
  </si>
  <si>
    <t>Velez Sarfield</t>
  </si>
  <si>
    <t>Tigre</t>
  </si>
  <si>
    <t>Independiente</t>
  </si>
  <si>
    <t>Bodo/Glimt</t>
  </si>
  <si>
    <t>Sporting CP</t>
  </si>
  <si>
    <t>Europa League</t>
  </si>
  <si>
    <t>Conference League</t>
  </si>
  <si>
    <t>Damac</t>
  </si>
  <si>
    <t>Al Najma</t>
  </si>
  <si>
    <t>Sigma Omoluc</t>
  </si>
  <si>
    <t>Mainz</t>
  </si>
  <si>
    <t>Celta de Vigo</t>
  </si>
  <si>
    <t>Rijeka</t>
  </si>
  <si>
    <t>Strasburgo</t>
  </si>
  <si>
    <t>Lyon</t>
  </si>
  <si>
    <t>Neom</t>
  </si>
  <si>
    <t>Al Taawoun</t>
  </si>
  <si>
    <t>Saudi Pro League</t>
  </si>
  <si>
    <t>Lech Poznan</t>
  </si>
  <si>
    <t>Shakhtar</t>
  </si>
  <si>
    <t>Liga Brasilera</t>
  </si>
  <si>
    <t>Flamengo</t>
  </si>
  <si>
    <t>River Plate</t>
  </si>
  <si>
    <t>Huracan</t>
  </si>
  <si>
    <t>Remo</t>
  </si>
  <si>
    <t>Liga Croacia</t>
  </si>
  <si>
    <t>Varazdin</t>
  </si>
  <si>
    <t>Swensea</t>
  </si>
  <si>
    <t>1 mitad</t>
  </si>
  <si>
    <t>Vukovar 1991</t>
  </si>
  <si>
    <t>2da. España</t>
  </si>
  <si>
    <t>Ruch</t>
  </si>
  <si>
    <t>Stal Mielec</t>
  </si>
  <si>
    <t>Real Zaragoza</t>
  </si>
  <si>
    <t>Ljubljana</t>
  </si>
  <si>
    <t>Jagiellonia</t>
  </si>
  <si>
    <t>Piast</t>
  </si>
  <si>
    <t>Liga Colombia</t>
  </si>
  <si>
    <t>Vitoria</t>
  </si>
  <si>
    <t>Atletico Mineiro</t>
  </si>
  <si>
    <t>Cucuta</t>
  </si>
  <si>
    <t>Deportivo Cali</t>
  </si>
  <si>
    <t>Real Betis</t>
  </si>
  <si>
    <t>Fluminense</t>
  </si>
  <si>
    <t>Athletico PR</t>
  </si>
  <si>
    <t>Gimnasia la Plata</t>
  </si>
  <si>
    <t>Rivadavia</t>
  </si>
  <si>
    <t>Liga Francia</t>
  </si>
  <si>
    <t>Rennes</t>
  </si>
  <si>
    <t>Lille</t>
  </si>
  <si>
    <t>Liga Serbia</t>
  </si>
  <si>
    <t>Liga Rumania</t>
  </si>
  <si>
    <t>Universidad Cluj</t>
  </si>
  <si>
    <t>CFR Cluj</t>
  </si>
  <si>
    <t>Barracas Central</t>
  </si>
  <si>
    <t>Atletico Tucuman</t>
  </si>
  <si>
    <t>OFK Beograd</t>
  </si>
  <si>
    <t>Napredak</t>
  </si>
  <si>
    <t>Gremio</t>
  </si>
  <si>
    <t>Chapecoense</t>
  </si>
  <si>
    <t>Instituto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</si>
</sst>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49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9" fontId="1" fillId="0" borderId="0" xfId="1" applyFont="1" applyAlignment="1">
      <alignment horizontal="center"/>
    </xf>
    <xf numFmtId="0" fontId="0" fillId="0" borderId="0" xfId="0" applyFont="1" applyAlignment="1">
      <alignment horizontal="center" vertical="center" wrapText="1"/>
    </xf>
    <xf numFmtId="2" fontId="0" fillId="0" borderId="0" xfId="0" applyNumberFormat="1" applyFont="1" applyAlignment="1">
      <alignment horizontal="center" vertical="center" wrapText="1"/>
    </xf>
    <xf numFmtId="9" fontId="2" fillId="0" borderId="0" xfId="1" applyFont="1" applyAlignment="1">
      <alignment horizontal="center"/>
    </xf>
    <xf numFmtId="49" fontId="0" fillId="0" borderId="0" xfId="0" applyNumberFormat="1" applyFont="1" applyFill="1" applyAlignment="1">
      <alignment horizontal="center"/>
    </xf>
    <xf numFmtId="2" fontId="0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0" fontId="1" fillId="0" borderId="0" xfId="1" applyNumberFormat="1" applyFont="1" applyAlignment="1">
      <alignment horizontal="center"/>
    </xf>
    <xf numFmtId="0" fontId="0" fillId="0" borderId="0" xfId="0" applyNumberFormat="1" applyFont="1" applyAlignment="1">
      <alignment horizontal="center"/>
    </xf>
    <xf numFmtId="0" fontId="2" fillId="0" borderId="0" xfId="1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49" fontId="1" fillId="0" borderId="0" xfId="0" applyNumberFormat="1" applyFont="1" applyFill="1" applyAlignment="1">
      <alignment horizontal="center"/>
    </xf>
    <xf numFmtId="0" fontId="0" fillId="0" borderId="0" xfId="0" applyFont="1" applyFill="1" applyAlignment="1">
      <alignment horizontal="center" vertical="center" wrapText="1"/>
    </xf>
    <xf numFmtId="49" fontId="0" fillId="0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14" fontId="1" fillId="0" borderId="0" xfId="0" applyNumberFormat="1" applyFont="1" applyAlignment="1">
      <alignment horizontal="center"/>
    </xf>
    <xf numFmtId="14" fontId="0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 applyFont="1" applyAlignment="1">
      <alignment horizontal="center"/>
    </xf>
    <xf numFmtId="1" fontId="0" fillId="0" borderId="0" xfId="0" applyNumberFormat="1" applyFon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Porcentaje" xfId="1" builtinId="5"/>
  </cellStyles>
  <dxfs count="9">
    <dxf>
      <font>
        <b/>
        <i val="0"/>
      </font>
      <fill>
        <patternFill>
          <bgColor theme="6"/>
        </patternFill>
      </fill>
    </dxf>
    <dxf>
      <fill>
        <patternFill>
          <bgColor rgb="FFC00000"/>
        </patternFill>
      </fill>
    </dxf>
    <dxf>
      <font>
        <b val="0"/>
        <i/>
      </font>
      <numFmt numFmtId="0" formatCode="General"/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 val="0"/>
        <i/>
      </font>
      <numFmt numFmtId="0" formatCode="General"/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 val="0"/>
        <i/>
      </font>
      <numFmt numFmtId="0" formatCode="General"/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6"/>
  <sheetViews>
    <sheetView tabSelected="1" topLeftCell="A34" zoomScale="80" zoomScaleNormal="80" workbookViewId="0">
      <selection activeCell="H65" sqref="H65"/>
    </sheetView>
  </sheetViews>
  <sheetFormatPr baseColWidth="10" defaultColWidth="9.140625" defaultRowHeight="15" x14ac:dyDescent="0.25"/>
  <cols>
    <col min="1" max="1" width="18" style="27" customWidth="1"/>
    <col min="2" max="2" width="22.5703125" style="7" customWidth="1"/>
    <col min="3" max="3" width="21" style="7" customWidth="1"/>
    <col min="4" max="4" width="25.42578125" style="7" customWidth="1"/>
    <col min="5" max="5" width="18" style="7" customWidth="1"/>
    <col min="6" max="6" width="12.42578125" style="7" customWidth="1"/>
    <col min="7" max="7" width="14" style="29" customWidth="1"/>
    <col min="8" max="8" width="13.5703125" style="29" customWidth="1"/>
    <col min="9" max="9" width="11.85546875" style="13" customWidth="1"/>
    <col min="10" max="10" width="11.5703125" style="13" customWidth="1"/>
    <col min="11" max="11" width="13.85546875" style="13" customWidth="1"/>
    <col min="12" max="12" width="13.42578125" style="13" customWidth="1"/>
    <col min="13" max="13" width="17.140625" style="4" customWidth="1"/>
    <col min="14" max="14" width="16.28515625" style="4" customWidth="1"/>
    <col min="15" max="15" width="18" style="13" customWidth="1"/>
    <col min="16" max="16" width="16.5703125" style="11" customWidth="1"/>
    <col min="17" max="17" width="16.140625" style="4" customWidth="1"/>
    <col min="18" max="18" width="10.140625" style="11" customWidth="1"/>
    <col min="19" max="19" width="27" style="19" customWidth="1"/>
    <col min="20" max="20" width="14.7109375" style="7" customWidth="1"/>
    <col min="21" max="21" width="13.7109375" style="14" customWidth="1"/>
    <col min="22" max="22" width="11.7109375" style="14" customWidth="1"/>
    <col min="23" max="23" width="17" customWidth="1"/>
  </cols>
  <sheetData>
    <row r="1" spans="1:22" x14ac:dyDescent="0.25">
      <c r="A1" s="26" t="s">
        <v>0</v>
      </c>
      <c r="B1" s="2" t="s">
        <v>1</v>
      </c>
      <c r="C1" s="2" t="s">
        <v>31</v>
      </c>
      <c r="D1" s="2" t="s">
        <v>32</v>
      </c>
      <c r="E1" s="2" t="s">
        <v>2</v>
      </c>
      <c r="F1" s="2" t="s">
        <v>3</v>
      </c>
      <c r="G1" s="28" t="s">
        <v>4</v>
      </c>
      <c r="H1" s="28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8" t="s">
        <v>70</v>
      </c>
      <c r="N1" s="8" t="s">
        <v>71</v>
      </c>
      <c r="O1" s="6" t="s">
        <v>10</v>
      </c>
      <c r="P1" s="8" t="s">
        <v>11</v>
      </c>
      <c r="Q1" s="8" t="s">
        <v>22</v>
      </c>
      <c r="R1" s="8" t="s">
        <v>23</v>
      </c>
      <c r="S1" s="17"/>
      <c r="T1" s="2"/>
      <c r="U1" s="21"/>
      <c r="V1" s="5"/>
    </row>
    <row r="2" spans="1:22" x14ac:dyDescent="0.25">
      <c r="A2" s="27">
        <v>46085</v>
      </c>
      <c r="B2" s="7" t="s">
        <v>25</v>
      </c>
      <c r="C2" s="7" t="s">
        <v>33</v>
      </c>
      <c r="D2" s="7" t="s">
        <v>34</v>
      </c>
      <c r="E2" s="7" t="s">
        <v>13</v>
      </c>
      <c r="F2" s="7">
        <v>1.42</v>
      </c>
      <c r="G2" s="29">
        <v>2</v>
      </c>
      <c r="H2" s="29">
        <v>1</v>
      </c>
      <c r="I2" s="10">
        <v>1.72</v>
      </c>
      <c r="J2" s="10">
        <v>1.58</v>
      </c>
      <c r="K2" s="10">
        <v>1.33</v>
      </c>
      <c r="L2" s="10">
        <v>1.37</v>
      </c>
      <c r="M2" s="16">
        <v>0.71</v>
      </c>
      <c r="N2" s="16">
        <v>0.86</v>
      </c>
      <c r="O2" s="13">
        <f t="shared" ref="O2:O4" si="0">I2+J2</f>
        <v>3.3</v>
      </c>
      <c r="P2" s="11">
        <f t="shared" ref="P2:P4" si="1">1/F2</f>
        <v>0.70422535211267612</v>
      </c>
      <c r="Q2" s="4">
        <v>0.75</v>
      </c>
      <c r="R2" s="11">
        <f t="shared" ref="R2:R17" si="2">Q2-P2</f>
        <v>4.5774647887323883E-2</v>
      </c>
      <c r="S2" s="20"/>
      <c r="U2" s="12"/>
      <c r="V2" s="12"/>
    </row>
    <row r="3" spans="1:22" x14ac:dyDescent="0.25">
      <c r="A3" s="27">
        <v>46085</v>
      </c>
      <c r="B3" s="7" t="s">
        <v>12</v>
      </c>
      <c r="C3" s="7" t="s">
        <v>35</v>
      </c>
      <c r="D3" s="7" t="s">
        <v>52</v>
      </c>
      <c r="E3" s="7" t="s">
        <v>13</v>
      </c>
      <c r="F3" s="7">
        <v>1.7</v>
      </c>
      <c r="G3" s="29">
        <v>2</v>
      </c>
      <c r="H3" s="29">
        <v>1</v>
      </c>
      <c r="I3" s="10">
        <v>1.29</v>
      </c>
      <c r="J3" s="10">
        <v>1.44</v>
      </c>
      <c r="K3" s="10">
        <v>1.55</v>
      </c>
      <c r="L3" s="10">
        <v>1.4</v>
      </c>
      <c r="M3" s="16">
        <v>0.77</v>
      </c>
      <c r="N3" s="16">
        <v>0.69</v>
      </c>
      <c r="O3" s="13">
        <f t="shared" si="0"/>
        <v>2.73</v>
      </c>
      <c r="P3" s="11">
        <f t="shared" si="1"/>
        <v>0.58823529411764708</v>
      </c>
      <c r="Q3" s="4">
        <v>0.63</v>
      </c>
      <c r="R3" s="11">
        <f t="shared" si="2"/>
        <v>4.1764705882352926E-2</v>
      </c>
      <c r="S3" s="20"/>
      <c r="U3" s="12"/>
      <c r="V3" s="12"/>
    </row>
    <row r="4" spans="1:22" x14ac:dyDescent="0.25">
      <c r="A4" s="27">
        <v>46085</v>
      </c>
      <c r="B4" s="7" t="s">
        <v>24</v>
      </c>
      <c r="C4" s="7" t="s">
        <v>36</v>
      </c>
      <c r="D4" s="7" t="s">
        <v>51</v>
      </c>
      <c r="E4" s="7" t="s">
        <v>13</v>
      </c>
      <c r="F4" s="7">
        <v>1.7</v>
      </c>
      <c r="G4" s="29">
        <v>3</v>
      </c>
      <c r="H4" s="29">
        <v>1</v>
      </c>
      <c r="I4" s="13">
        <v>1.43</v>
      </c>
      <c r="J4" s="10">
        <v>1.52</v>
      </c>
      <c r="K4" s="10">
        <v>1.53</v>
      </c>
      <c r="L4" s="10">
        <v>1.5</v>
      </c>
      <c r="M4" s="16">
        <v>0.5</v>
      </c>
      <c r="N4" s="16">
        <v>0.73</v>
      </c>
      <c r="O4" s="13">
        <f t="shared" si="0"/>
        <v>2.95</v>
      </c>
      <c r="P4" s="11">
        <f t="shared" si="1"/>
        <v>0.58823529411764708</v>
      </c>
      <c r="Q4" s="4">
        <v>0.66</v>
      </c>
      <c r="R4" s="11">
        <f t="shared" si="2"/>
        <v>7.1764705882352953E-2</v>
      </c>
      <c r="S4" s="3"/>
      <c r="U4" s="12"/>
      <c r="V4" s="12"/>
    </row>
    <row r="5" spans="1:22" x14ac:dyDescent="0.25">
      <c r="A5" s="27">
        <v>46086</v>
      </c>
      <c r="B5" s="7" t="s">
        <v>12</v>
      </c>
      <c r="C5" s="7" t="s">
        <v>37</v>
      </c>
      <c r="D5" s="7" t="s">
        <v>50</v>
      </c>
      <c r="E5" s="7" t="s">
        <v>13</v>
      </c>
      <c r="F5" s="7">
        <v>1.42</v>
      </c>
      <c r="G5" s="29">
        <v>2</v>
      </c>
      <c r="H5" s="29">
        <v>2</v>
      </c>
      <c r="I5" s="13">
        <v>1.78</v>
      </c>
      <c r="J5" s="13">
        <v>1.69</v>
      </c>
      <c r="K5" s="13">
        <v>1.61</v>
      </c>
      <c r="L5" s="13">
        <v>1.74</v>
      </c>
      <c r="M5" s="4">
        <v>0.67</v>
      </c>
      <c r="N5" s="4">
        <v>0.71</v>
      </c>
      <c r="O5" s="13">
        <f t="shared" ref="O5:O17" si="3">I5+J5</f>
        <v>3.4699999999999998</v>
      </c>
      <c r="P5" s="11">
        <f t="shared" ref="P5:P15" si="4">1/F5</f>
        <v>0.70422535211267612</v>
      </c>
      <c r="Q5" s="4">
        <v>0.75</v>
      </c>
      <c r="R5" s="11">
        <f t="shared" si="2"/>
        <v>4.5774647887323883E-2</v>
      </c>
      <c r="S5" s="20"/>
      <c r="U5" s="12"/>
      <c r="V5" s="12"/>
    </row>
    <row r="6" spans="1:22" x14ac:dyDescent="0.25">
      <c r="A6" s="27">
        <v>46087</v>
      </c>
      <c r="B6" s="7" t="s">
        <v>14</v>
      </c>
      <c r="C6" s="7" t="s">
        <v>38</v>
      </c>
      <c r="D6" s="7" t="s">
        <v>49</v>
      </c>
      <c r="E6" s="7" t="s">
        <v>13</v>
      </c>
      <c r="F6" s="7">
        <v>1.61</v>
      </c>
      <c r="G6" s="29">
        <v>0</v>
      </c>
      <c r="H6" s="29">
        <v>1</v>
      </c>
      <c r="I6" s="10">
        <v>1.81</v>
      </c>
      <c r="J6" s="10">
        <v>1.66</v>
      </c>
      <c r="K6" s="10">
        <v>1.63</v>
      </c>
      <c r="L6" s="10">
        <v>1.71</v>
      </c>
      <c r="M6" s="16">
        <v>0.68</v>
      </c>
      <c r="N6" s="16">
        <v>0.7</v>
      </c>
      <c r="O6" s="13">
        <f t="shared" si="3"/>
        <v>3.4699999999999998</v>
      </c>
      <c r="P6" s="11">
        <f t="shared" si="4"/>
        <v>0.6211180124223602</v>
      </c>
      <c r="Q6" s="16">
        <v>0.7</v>
      </c>
      <c r="R6" s="11">
        <f t="shared" si="2"/>
        <v>7.8881987577639756E-2</v>
      </c>
      <c r="S6" s="20"/>
      <c r="U6" s="12"/>
      <c r="V6" s="12"/>
    </row>
    <row r="7" spans="1:22" x14ac:dyDescent="0.25">
      <c r="A7" s="27">
        <v>46087</v>
      </c>
      <c r="B7" s="7" t="s">
        <v>15</v>
      </c>
      <c r="C7" s="7" t="s">
        <v>39</v>
      </c>
      <c r="D7" s="7" t="s">
        <v>48</v>
      </c>
      <c r="E7" s="7" t="s">
        <v>13</v>
      </c>
      <c r="F7" s="7">
        <v>1.66</v>
      </c>
      <c r="G7" s="29">
        <v>0</v>
      </c>
      <c r="H7" s="29">
        <v>0</v>
      </c>
      <c r="I7" s="10">
        <v>1.74</v>
      </c>
      <c r="J7" s="10">
        <v>1.72</v>
      </c>
      <c r="K7" s="10">
        <v>1.68</v>
      </c>
      <c r="L7" s="10">
        <v>1.7</v>
      </c>
      <c r="M7" s="16">
        <v>0.69</v>
      </c>
      <c r="N7" s="16">
        <v>0.72</v>
      </c>
      <c r="O7" s="13">
        <f t="shared" si="3"/>
        <v>3.46</v>
      </c>
      <c r="P7" s="11">
        <f t="shared" si="4"/>
        <v>0.60240963855421692</v>
      </c>
      <c r="Q7" s="16">
        <v>0.7</v>
      </c>
      <c r="R7" s="11">
        <f t="shared" si="2"/>
        <v>9.7590361445783036E-2</v>
      </c>
      <c r="S7" s="20"/>
      <c r="U7" s="12"/>
    </row>
    <row r="8" spans="1:22" x14ac:dyDescent="0.25">
      <c r="A8" s="27">
        <v>46087</v>
      </c>
      <c r="B8" s="7" t="s">
        <v>16</v>
      </c>
      <c r="C8" s="7" t="s">
        <v>40</v>
      </c>
      <c r="D8" s="7" t="s">
        <v>47</v>
      </c>
      <c r="E8" s="7" t="s">
        <v>13</v>
      </c>
      <c r="F8" s="7">
        <v>1.42</v>
      </c>
      <c r="G8" s="29">
        <v>0</v>
      </c>
      <c r="H8" s="29">
        <v>2</v>
      </c>
      <c r="I8" s="10">
        <v>1.85</v>
      </c>
      <c r="J8" s="10">
        <v>1.73</v>
      </c>
      <c r="K8" s="10">
        <v>1.64</v>
      </c>
      <c r="L8" s="10">
        <v>1.82</v>
      </c>
      <c r="M8" s="16">
        <v>0.7</v>
      </c>
      <c r="N8" s="16">
        <v>0.74</v>
      </c>
      <c r="O8" s="13">
        <f t="shared" si="3"/>
        <v>3.58</v>
      </c>
      <c r="P8" s="11">
        <f t="shared" si="4"/>
        <v>0.70422535211267612</v>
      </c>
      <c r="Q8" s="16">
        <v>0.75</v>
      </c>
      <c r="R8" s="11">
        <f t="shared" si="2"/>
        <v>4.5774647887323883E-2</v>
      </c>
      <c r="S8" s="20"/>
      <c r="U8" s="12"/>
    </row>
    <row r="9" spans="1:22" x14ac:dyDescent="0.25">
      <c r="A9" s="27">
        <v>46088</v>
      </c>
      <c r="B9" s="9" t="s">
        <v>26</v>
      </c>
      <c r="C9" s="9" t="s">
        <v>45</v>
      </c>
      <c r="D9" s="9" t="s">
        <v>46</v>
      </c>
      <c r="E9" s="7" t="s">
        <v>13</v>
      </c>
      <c r="F9" s="9">
        <v>1.55</v>
      </c>
      <c r="G9" s="29">
        <v>0</v>
      </c>
      <c r="H9" s="29">
        <v>1</v>
      </c>
      <c r="I9" s="9">
        <v>1.58</v>
      </c>
      <c r="J9" s="9">
        <v>1.47</v>
      </c>
      <c r="K9" s="10">
        <v>1.41</v>
      </c>
      <c r="L9" s="13">
        <v>1.64</v>
      </c>
      <c r="M9" s="4">
        <v>0.67</v>
      </c>
      <c r="N9" s="4">
        <v>0.64</v>
      </c>
      <c r="O9" s="13">
        <f t="shared" si="3"/>
        <v>3.05</v>
      </c>
      <c r="P9" s="11">
        <f t="shared" si="4"/>
        <v>0.64516129032258063</v>
      </c>
      <c r="Q9" s="4">
        <v>0.7</v>
      </c>
      <c r="R9" s="11">
        <f t="shared" si="2"/>
        <v>5.4838709677419328E-2</v>
      </c>
      <c r="S9" s="20"/>
      <c r="U9" s="12"/>
    </row>
    <row r="10" spans="1:22" x14ac:dyDescent="0.25">
      <c r="A10" s="27">
        <v>46088</v>
      </c>
      <c r="B10" s="9" t="s">
        <v>26</v>
      </c>
      <c r="C10" s="9" t="s">
        <v>41</v>
      </c>
      <c r="D10" s="7" t="s">
        <v>53</v>
      </c>
      <c r="E10" s="7" t="s">
        <v>13</v>
      </c>
      <c r="F10" s="7">
        <v>1.75</v>
      </c>
      <c r="G10" s="29">
        <v>1</v>
      </c>
      <c r="H10" s="29">
        <v>1</v>
      </c>
      <c r="I10" s="13">
        <v>1.98</v>
      </c>
      <c r="J10" s="13">
        <v>1.42</v>
      </c>
      <c r="K10" s="13">
        <v>1.34</v>
      </c>
      <c r="L10" s="13">
        <v>1.36</v>
      </c>
      <c r="M10" s="4">
        <v>0.75</v>
      </c>
      <c r="N10" s="4">
        <v>0.64</v>
      </c>
      <c r="O10" s="13">
        <f t="shared" si="3"/>
        <v>3.4</v>
      </c>
      <c r="P10" s="11">
        <f t="shared" si="4"/>
        <v>0.5714285714285714</v>
      </c>
      <c r="Q10" s="4">
        <v>0.65</v>
      </c>
      <c r="R10" s="11">
        <f t="shared" si="2"/>
        <v>7.8571428571428625E-2</v>
      </c>
      <c r="S10" s="20"/>
      <c r="U10" s="12"/>
    </row>
    <row r="11" spans="1:22" x14ac:dyDescent="0.25">
      <c r="A11" s="27">
        <v>46088</v>
      </c>
      <c r="B11" s="9" t="s">
        <v>26</v>
      </c>
      <c r="C11" s="9" t="s">
        <v>55</v>
      </c>
      <c r="D11" s="7" t="s">
        <v>54</v>
      </c>
      <c r="E11" s="7" t="s">
        <v>13</v>
      </c>
      <c r="F11" s="9">
        <v>1.44</v>
      </c>
      <c r="G11" s="30">
        <v>2</v>
      </c>
      <c r="H11" s="30">
        <v>4</v>
      </c>
      <c r="I11" s="10">
        <v>1.83</v>
      </c>
      <c r="J11" s="13">
        <v>1.74</v>
      </c>
      <c r="K11" s="10">
        <v>1.42</v>
      </c>
      <c r="L11" s="10">
        <v>1.5</v>
      </c>
      <c r="M11" s="16">
        <v>0.79</v>
      </c>
      <c r="N11" s="16">
        <v>0.85</v>
      </c>
      <c r="O11" s="13">
        <f t="shared" si="3"/>
        <v>3.5700000000000003</v>
      </c>
      <c r="P11" s="11">
        <f t="shared" si="4"/>
        <v>0.69444444444444442</v>
      </c>
      <c r="Q11" s="4">
        <v>0.75</v>
      </c>
      <c r="R11" s="11">
        <f t="shared" si="2"/>
        <v>5.555555555555558E-2</v>
      </c>
      <c r="S11" s="20"/>
      <c r="U11" s="12"/>
    </row>
    <row r="12" spans="1:22" x14ac:dyDescent="0.25">
      <c r="A12" s="27">
        <v>46088</v>
      </c>
      <c r="B12" s="9" t="s">
        <v>27</v>
      </c>
      <c r="C12" s="9" t="s">
        <v>42</v>
      </c>
      <c r="D12" s="3" t="s">
        <v>60</v>
      </c>
      <c r="E12" s="7" t="s">
        <v>13</v>
      </c>
      <c r="F12" s="9">
        <v>1.55</v>
      </c>
      <c r="G12" s="30">
        <v>1</v>
      </c>
      <c r="H12" s="30">
        <v>2</v>
      </c>
      <c r="I12" s="10">
        <v>1.53</v>
      </c>
      <c r="J12" s="13">
        <v>1.5</v>
      </c>
      <c r="K12" s="10">
        <v>1.46</v>
      </c>
      <c r="L12" s="10">
        <v>1.37</v>
      </c>
      <c r="M12" s="16">
        <v>0.83</v>
      </c>
      <c r="N12" s="16">
        <v>0.67</v>
      </c>
      <c r="O12" s="13">
        <f t="shared" si="3"/>
        <v>3.0300000000000002</v>
      </c>
      <c r="P12" s="11">
        <f t="shared" si="4"/>
        <v>0.64516129032258063</v>
      </c>
      <c r="Q12" s="4">
        <v>0.72</v>
      </c>
      <c r="R12" s="11">
        <f t="shared" si="2"/>
        <v>7.4838709677419346E-2</v>
      </c>
      <c r="S12" s="20"/>
      <c r="U12" s="12"/>
    </row>
    <row r="13" spans="1:22" x14ac:dyDescent="0.25">
      <c r="A13" s="27">
        <v>46088</v>
      </c>
      <c r="B13" s="9" t="s">
        <v>27</v>
      </c>
      <c r="C13" s="9" t="s">
        <v>56</v>
      </c>
      <c r="D13" s="9" t="s">
        <v>74</v>
      </c>
      <c r="E13" s="7" t="s">
        <v>13</v>
      </c>
      <c r="F13" s="9">
        <v>1.57</v>
      </c>
      <c r="G13" s="30">
        <v>2</v>
      </c>
      <c r="H13" s="29">
        <v>1</v>
      </c>
      <c r="I13" s="10">
        <v>1.94</v>
      </c>
      <c r="J13" s="13">
        <v>1.43</v>
      </c>
      <c r="K13" s="10">
        <v>1.32</v>
      </c>
      <c r="L13" s="10">
        <v>1.5</v>
      </c>
      <c r="M13" s="16">
        <v>0.67</v>
      </c>
      <c r="N13" s="16">
        <v>0.64</v>
      </c>
      <c r="O13" s="13">
        <f t="shared" si="3"/>
        <v>3.37</v>
      </c>
      <c r="P13" s="11">
        <f t="shared" si="4"/>
        <v>0.63694267515923564</v>
      </c>
      <c r="Q13" s="4">
        <v>0.68</v>
      </c>
      <c r="R13" s="11">
        <f t="shared" si="2"/>
        <v>4.305732484076441E-2</v>
      </c>
      <c r="S13" s="20"/>
      <c r="U13" s="12"/>
    </row>
    <row r="14" spans="1:22" x14ac:dyDescent="0.25">
      <c r="A14" s="27">
        <v>46088</v>
      </c>
      <c r="B14" s="9" t="s">
        <v>28</v>
      </c>
      <c r="C14" s="9" t="s">
        <v>57</v>
      </c>
      <c r="D14" s="3" t="s">
        <v>75</v>
      </c>
      <c r="E14" s="7" t="s">
        <v>13</v>
      </c>
      <c r="F14" s="9">
        <v>1.57</v>
      </c>
      <c r="G14" s="30">
        <v>3</v>
      </c>
      <c r="H14" s="30">
        <v>0</v>
      </c>
      <c r="I14" s="10">
        <v>1.87</v>
      </c>
      <c r="J14" s="13">
        <v>1.69</v>
      </c>
      <c r="K14" s="10">
        <v>1.53</v>
      </c>
      <c r="L14" s="10">
        <v>1.81</v>
      </c>
      <c r="M14" s="16">
        <v>0.55000000000000004</v>
      </c>
      <c r="N14" s="16">
        <v>0.73</v>
      </c>
      <c r="O14" s="13">
        <f t="shared" si="3"/>
        <v>3.56</v>
      </c>
      <c r="P14" s="11">
        <f t="shared" si="4"/>
        <v>0.63694267515923564</v>
      </c>
      <c r="Q14" s="4">
        <v>0.67</v>
      </c>
      <c r="R14" s="11">
        <f t="shared" si="2"/>
        <v>3.3057324840764402E-2</v>
      </c>
      <c r="S14" s="20"/>
      <c r="U14" s="22"/>
    </row>
    <row r="15" spans="1:22" x14ac:dyDescent="0.25">
      <c r="A15" s="27">
        <v>46088</v>
      </c>
      <c r="B15" s="9" t="s">
        <v>28</v>
      </c>
      <c r="C15" s="9" t="s">
        <v>58</v>
      </c>
      <c r="D15" s="9" t="s">
        <v>59</v>
      </c>
      <c r="E15" s="7" t="s">
        <v>13</v>
      </c>
      <c r="F15" s="9">
        <v>1.42</v>
      </c>
      <c r="G15" s="30">
        <v>2</v>
      </c>
      <c r="H15" s="30">
        <v>1</v>
      </c>
      <c r="I15" s="10">
        <v>1.66</v>
      </c>
      <c r="J15" s="10">
        <v>1.58</v>
      </c>
      <c r="K15" s="10">
        <v>1.59</v>
      </c>
      <c r="L15" s="10">
        <v>1.86</v>
      </c>
      <c r="M15" s="16">
        <v>0.82</v>
      </c>
      <c r="N15" s="4">
        <v>0.73</v>
      </c>
      <c r="O15" s="13">
        <f t="shared" si="3"/>
        <v>3.24</v>
      </c>
      <c r="P15" s="11">
        <f t="shared" si="4"/>
        <v>0.70422535211267612</v>
      </c>
      <c r="Q15" s="4">
        <v>0.74</v>
      </c>
      <c r="R15" s="11">
        <f t="shared" si="2"/>
        <v>3.5774647887323874E-2</v>
      </c>
      <c r="S15" s="20"/>
      <c r="U15" s="12"/>
    </row>
    <row r="16" spans="1:22" x14ac:dyDescent="0.25">
      <c r="A16" s="27">
        <v>46088</v>
      </c>
      <c r="B16" s="7" t="s">
        <v>24</v>
      </c>
      <c r="C16" s="7" t="s">
        <v>43</v>
      </c>
      <c r="D16" s="3" t="s">
        <v>72</v>
      </c>
      <c r="E16" s="7" t="s">
        <v>13</v>
      </c>
      <c r="F16" s="9">
        <v>1.83</v>
      </c>
      <c r="G16" s="30">
        <v>1</v>
      </c>
      <c r="H16" s="30">
        <v>2</v>
      </c>
      <c r="I16" s="10">
        <v>1.32</v>
      </c>
      <c r="J16" s="10">
        <v>1.49</v>
      </c>
      <c r="K16" s="10">
        <v>1.62</v>
      </c>
      <c r="L16" s="10">
        <v>1.05</v>
      </c>
      <c r="M16" s="16">
        <v>0.62</v>
      </c>
      <c r="N16" s="4">
        <v>0.5</v>
      </c>
      <c r="O16" s="13">
        <f t="shared" si="3"/>
        <v>2.81</v>
      </c>
      <c r="P16" s="11">
        <f t="shared" ref="P16:P22" si="5">1/F16</f>
        <v>0.54644808743169393</v>
      </c>
      <c r="Q16" s="4">
        <v>0.64</v>
      </c>
      <c r="R16" s="11">
        <f t="shared" si="2"/>
        <v>9.3551912568306084E-2</v>
      </c>
      <c r="S16" s="3"/>
      <c r="U16" s="23"/>
      <c r="V16" s="15"/>
    </row>
    <row r="17" spans="1:22" x14ac:dyDescent="0.25">
      <c r="A17" s="27">
        <v>46088</v>
      </c>
      <c r="B17" s="7" t="s">
        <v>24</v>
      </c>
      <c r="C17" s="7" t="s">
        <v>61</v>
      </c>
      <c r="D17" s="9" t="s">
        <v>76</v>
      </c>
      <c r="E17" s="7" t="s">
        <v>13</v>
      </c>
      <c r="F17" s="9">
        <v>1.85</v>
      </c>
      <c r="G17" s="30">
        <v>3</v>
      </c>
      <c r="H17" s="30">
        <v>0</v>
      </c>
      <c r="I17" s="10">
        <v>2.0699999999999998</v>
      </c>
      <c r="J17" s="10">
        <v>1.38</v>
      </c>
      <c r="K17" s="10">
        <v>0.95</v>
      </c>
      <c r="L17" s="10">
        <v>1.39</v>
      </c>
      <c r="M17" s="16">
        <v>0.67</v>
      </c>
      <c r="N17" s="4">
        <v>0.69</v>
      </c>
      <c r="O17" s="13">
        <f t="shared" si="3"/>
        <v>3.4499999999999997</v>
      </c>
      <c r="P17" s="11">
        <f t="shared" si="5"/>
        <v>0.54054054054054046</v>
      </c>
      <c r="Q17" s="4">
        <v>0.69</v>
      </c>
      <c r="R17" s="11">
        <f t="shared" si="2"/>
        <v>0.14945945945945949</v>
      </c>
      <c r="S17" s="3"/>
      <c r="U17" s="23"/>
      <c r="V17" s="15"/>
    </row>
    <row r="18" spans="1:22" x14ac:dyDescent="0.25">
      <c r="A18" s="27">
        <v>46089</v>
      </c>
      <c r="B18" s="9" t="s">
        <v>29</v>
      </c>
      <c r="C18" s="9" t="s">
        <v>44</v>
      </c>
      <c r="D18" s="3" t="s">
        <v>73</v>
      </c>
      <c r="E18" s="7" t="s">
        <v>13</v>
      </c>
      <c r="F18" s="9">
        <v>1.53</v>
      </c>
      <c r="G18" s="30">
        <v>3</v>
      </c>
      <c r="H18" s="30">
        <v>1</v>
      </c>
      <c r="I18" s="10">
        <v>1.54</v>
      </c>
      <c r="J18" s="10">
        <v>1.49</v>
      </c>
      <c r="K18" s="10">
        <v>1.6</v>
      </c>
      <c r="L18" s="10">
        <v>1.92</v>
      </c>
      <c r="M18" s="16">
        <v>0.62</v>
      </c>
      <c r="N18" s="4">
        <v>0.85</v>
      </c>
      <c r="O18" s="13">
        <f t="shared" ref="O18:O26" si="6">I18+J18</f>
        <v>3.0300000000000002</v>
      </c>
      <c r="P18" s="11">
        <f t="shared" si="5"/>
        <v>0.65359477124183007</v>
      </c>
      <c r="Q18" s="4">
        <v>0.7</v>
      </c>
      <c r="R18" s="11">
        <f t="shared" ref="R18:R66" si="7">Q18-P18</f>
        <v>4.6405228758169881E-2</v>
      </c>
      <c r="S18" s="18"/>
      <c r="U18" s="23"/>
    </row>
    <row r="19" spans="1:22" x14ac:dyDescent="0.25">
      <c r="A19" s="27">
        <v>46089</v>
      </c>
      <c r="B19" s="7" t="s">
        <v>15</v>
      </c>
      <c r="C19" s="7" t="s">
        <v>62</v>
      </c>
      <c r="D19" s="9" t="s">
        <v>63</v>
      </c>
      <c r="E19" s="7" t="s">
        <v>13</v>
      </c>
      <c r="F19" s="9">
        <v>1.53</v>
      </c>
      <c r="G19" s="30">
        <v>1</v>
      </c>
      <c r="H19" s="30">
        <v>4</v>
      </c>
      <c r="I19" s="10">
        <v>1.69</v>
      </c>
      <c r="J19" s="10">
        <v>2</v>
      </c>
      <c r="K19" s="10">
        <v>1.64</v>
      </c>
      <c r="L19" s="10">
        <v>1.37</v>
      </c>
      <c r="M19" s="16">
        <v>0.67</v>
      </c>
      <c r="N19" s="4">
        <v>0.75</v>
      </c>
      <c r="O19" s="13">
        <f t="shared" si="6"/>
        <v>3.69</v>
      </c>
      <c r="P19" s="11">
        <f t="shared" si="5"/>
        <v>0.65359477124183007</v>
      </c>
      <c r="Q19" s="4">
        <v>0.72</v>
      </c>
      <c r="R19" s="11">
        <f t="shared" si="7"/>
        <v>6.6405228758169899E-2</v>
      </c>
      <c r="S19" s="18"/>
      <c r="U19" s="23"/>
    </row>
    <row r="20" spans="1:22" x14ac:dyDescent="0.25">
      <c r="A20" s="27">
        <v>46089</v>
      </c>
      <c r="B20" s="9" t="s">
        <v>29</v>
      </c>
      <c r="C20" s="9" t="s">
        <v>64</v>
      </c>
      <c r="D20" s="9" t="s">
        <v>65</v>
      </c>
      <c r="E20" s="7" t="s">
        <v>13</v>
      </c>
      <c r="F20" s="9">
        <v>1.62</v>
      </c>
      <c r="G20" s="30">
        <v>4</v>
      </c>
      <c r="H20" s="30">
        <v>2</v>
      </c>
      <c r="I20" s="10">
        <v>1.75</v>
      </c>
      <c r="J20" s="10">
        <v>1.44</v>
      </c>
      <c r="K20" s="10">
        <v>1.32</v>
      </c>
      <c r="L20" s="10">
        <v>1.63</v>
      </c>
      <c r="M20" s="16">
        <v>0.85</v>
      </c>
      <c r="N20" s="4">
        <v>0.64</v>
      </c>
      <c r="O20" s="13">
        <f t="shared" si="6"/>
        <v>3.19</v>
      </c>
      <c r="P20" s="11">
        <f t="shared" si="5"/>
        <v>0.61728395061728392</v>
      </c>
      <c r="Q20" s="4">
        <v>0.7</v>
      </c>
      <c r="R20" s="11">
        <f t="shared" si="7"/>
        <v>8.2716049382716039E-2</v>
      </c>
      <c r="S20" s="18"/>
      <c r="U20" s="23"/>
    </row>
    <row r="21" spans="1:22" x14ac:dyDescent="0.25">
      <c r="A21" s="27">
        <v>46089</v>
      </c>
      <c r="B21" s="7" t="s">
        <v>12</v>
      </c>
      <c r="C21" s="7" t="s">
        <v>67</v>
      </c>
      <c r="D21" s="7" t="s">
        <v>66</v>
      </c>
      <c r="E21" s="7" t="s">
        <v>13</v>
      </c>
      <c r="F21" s="7">
        <v>1.55</v>
      </c>
      <c r="G21" s="29">
        <v>2</v>
      </c>
      <c r="H21" s="29">
        <v>3</v>
      </c>
      <c r="I21" s="13">
        <v>1.44</v>
      </c>
      <c r="J21" s="13">
        <v>1.63</v>
      </c>
      <c r="K21" s="13">
        <v>1.49</v>
      </c>
      <c r="L21" s="13">
        <v>1.55</v>
      </c>
      <c r="M21" s="4">
        <v>0.71</v>
      </c>
      <c r="N21" s="4">
        <v>0.71</v>
      </c>
      <c r="O21" s="13">
        <f t="shared" si="6"/>
        <v>3.07</v>
      </c>
      <c r="P21" s="11">
        <f t="shared" si="5"/>
        <v>0.64516129032258063</v>
      </c>
      <c r="Q21" s="4">
        <v>0.69</v>
      </c>
      <c r="R21" s="11">
        <f t="shared" si="7"/>
        <v>4.4838709677419319E-2</v>
      </c>
      <c r="S21" s="18"/>
    </row>
    <row r="22" spans="1:22" x14ac:dyDescent="0.25">
      <c r="A22" s="27">
        <v>46089</v>
      </c>
      <c r="B22" s="7" t="s">
        <v>30</v>
      </c>
      <c r="C22" s="7" t="s">
        <v>69</v>
      </c>
      <c r="D22" s="7" t="s">
        <v>68</v>
      </c>
      <c r="E22" s="7" t="s">
        <v>13</v>
      </c>
      <c r="F22" s="7">
        <v>1.75</v>
      </c>
      <c r="G22" s="29">
        <v>0</v>
      </c>
      <c r="H22" s="29">
        <v>1</v>
      </c>
      <c r="I22" s="13">
        <v>1.38</v>
      </c>
      <c r="J22" s="13">
        <v>1.28</v>
      </c>
      <c r="K22" s="13">
        <v>1.8</v>
      </c>
      <c r="L22" s="13">
        <v>1.65</v>
      </c>
      <c r="M22" s="4">
        <v>0.83</v>
      </c>
      <c r="N22" s="4">
        <v>0.75</v>
      </c>
      <c r="O22" s="13">
        <f t="shared" si="6"/>
        <v>2.66</v>
      </c>
      <c r="P22" s="11">
        <f t="shared" si="5"/>
        <v>0.5714285714285714</v>
      </c>
      <c r="Q22" s="4">
        <v>0.7</v>
      </c>
      <c r="R22" s="11">
        <f t="shared" si="7"/>
        <v>0.12857142857142856</v>
      </c>
      <c r="S22" s="18"/>
    </row>
    <row r="23" spans="1:22" x14ac:dyDescent="0.25">
      <c r="A23" s="27">
        <v>46089</v>
      </c>
      <c r="B23" s="7" t="s">
        <v>77</v>
      </c>
      <c r="C23" s="7" t="s">
        <v>78</v>
      </c>
      <c r="D23" s="7" t="s">
        <v>79</v>
      </c>
      <c r="E23" s="7" t="s">
        <v>13</v>
      </c>
      <c r="F23" s="7">
        <v>1.94</v>
      </c>
      <c r="G23" s="29">
        <v>1</v>
      </c>
      <c r="H23" s="29">
        <v>0</v>
      </c>
      <c r="I23" s="13">
        <v>1.83</v>
      </c>
      <c r="J23" s="13">
        <v>1.25</v>
      </c>
      <c r="K23" s="13">
        <v>1.29</v>
      </c>
      <c r="L23" s="13">
        <v>1.55</v>
      </c>
      <c r="M23" s="4">
        <v>0.55000000000000004</v>
      </c>
      <c r="N23" s="4">
        <v>0.42</v>
      </c>
      <c r="O23" s="13">
        <f t="shared" si="6"/>
        <v>3.08</v>
      </c>
      <c r="P23" s="11">
        <f>1/F23</f>
        <v>0.51546391752577325</v>
      </c>
      <c r="Q23" s="4">
        <v>0.57999999999999996</v>
      </c>
      <c r="R23" s="11">
        <f t="shared" si="7"/>
        <v>6.4536082474226708E-2</v>
      </c>
      <c r="S23" s="18"/>
    </row>
    <row r="24" spans="1:22" x14ac:dyDescent="0.25">
      <c r="A24" s="27">
        <v>46089</v>
      </c>
      <c r="B24" s="9" t="s">
        <v>29</v>
      </c>
      <c r="C24" s="7" t="s">
        <v>80</v>
      </c>
      <c r="D24" s="7" t="s">
        <v>81</v>
      </c>
      <c r="E24" s="7" t="s">
        <v>13</v>
      </c>
      <c r="F24" s="7">
        <v>1.4</v>
      </c>
      <c r="G24" s="29">
        <v>1</v>
      </c>
      <c r="H24" s="29">
        <v>2</v>
      </c>
      <c r="I24" s="13">
        <v>1.83</v>
      </c>
      <c r="J24" s="13">
        <v>1.74</v>
      </c>
      <c r="K24" s="13">
        <v>1.61</v>
      </c>
      <c r="L24" s="13">
        <v>1.29</v>
      </c>
      <c r="M24" s="4">
        <v>0.77</v>
      </c>
      <c r="N24" s="4">
        <v>0.79</v>
      </c>
      <c r="O24" s="13">
        <f t="shared" si="6"/>
        <v>3.5700000000000003</v>
      </c>
      <c r="P24" s="11">
        <f t="shared" ref="P24:P30" si="8">1/F24</f>
        <v>0.7142857142857143</v>
      </c>
      <c r="Q24" s="4">
        <v>0.76</v>
      </c>
      <c r="R24" s="11">
        <f t="shared" si="7"/>
        <v>4.5714285714285707E-2</v>
      </c>
      <c r="S24" s="18"/>
    </row>
    <row r="25" spans="1:22" x14ac:dyDescent="0.25">
      <c r="A25" s="27">
        <v>46090</v>
      </c>
      <c r="B25" s="7" t="s">
        <v>82</v>
      </c>
      <c r="C25" s="3" t="s">
        <v>84</v>
      </c>
      <c r="D25" s="7" t="s">
        <v>85</v>
      </c>
      <c r="E25" s="7" t="s">
        <v>13</v>
      </c>
      <c r="F25" s="7">
        <v>1.55</v>
      </c>
      <c r="G25" s="29">
        <v>1</v>
      </c>
      <c r="H25" s="29">
        <v>3</v>
      </c>
      <c r="I25" s="13">
        <v>1.52</v>
      </c>
      <c r="J25" s="13">
        <v>1.71</v>
      </c>
      <c r="K25" s="13">
        <v>1.43</v>
      </c>
      <c r="L25" s="13">
        <v>1.75</v>
      </c>
      <c r="M25" s="4">
        <v>0.73</v>
      </c>
      <c r="N25" s="4">
        <v>0.67</v>
      </c>
      <c r="O25" s="13">
        <f t="shared" si="6"/>
        <v>3.23</v>
      </c>
      <c r="P25" s="11">
        <f t="shared" si="8"/>
        <v>0.64516129032258063</v>
      </c>
      <c r="Q25" s="4">
        <v>0.75</v>
      </c>
      <c r="R25" s="11">
        <f t="shared" si="7"/>
        <v>0.10483870967741937</v>
      </c>
      <c r="S25" s="20"/>
    </row>
    <row r="26" spans="1:22" x14ac:dyDescent="0.25">
      <c r="A26" s="27">
        <v>46090</v>
      </c>
      <c r="B26" s="7" t="s">
        <v>98</v>
      </c>
      <c r="C26" s="7" t="s">
        <v>86</v>
      </c>
      <c r="D26" s="7" t="s">
        <v>87</v>
      </c>
      <c r="E26" s="7" t="s">
        <v>13</v>
      </c>
      <c r="F26" s="24">
        <v>1.7</v>
      </c>
      <c r="G26" s="31">
        <v>3</v>
      </c>
      <c r="H26" s="31">
        <v>0</v>
      </c>
      <c r="I26" s="24">
        <v>1.91</v>
      </c>
      <c r="J26" s="24">
        <v>1.22</v>
      </c>
      <c r="K26" s="24">
        <v>1.38</v>
      </c>
      <c r="L26" s="24">
        <v>1.76</v>
      </c>
      <c r="M26" s="16">
        <v>0.79</v>
      </c>
      <c r="N26" s="25">
        <v>0.56999999999999995</v>
      </c>
      <c r="O26" s="13">
        <f t="shared" si="6"/>
        <v>3.13</v>
      </c>
      <c r="P26" s="11">
        <f t="shared" si="8"/>
        <v>0.58823529411764708</v>
      </c>
      <c r="Q26" s="4">
        <v>0.67</v>
      </c>
      <c r="R26" s="11">
        <f t="shared" si="7"/>
        <v>8.1764705882352962E-2</v>
      </c>
      <c r="S26" s="18"/>
    </row>
    <row r="27" spans="1:22" x14ac:dyDescent="0.25">
      <c r="A27" s="27">
        <v>46090</v>
      </c>
      <c r="B27" s="7" t="s">
        <v>100</v>
      </c>
      <c r="C27" s="7" t="s">
        <v>88</v>
      </c>
      <c r="D27" s="7" t="s">
        <v>90</v>
      </c>
      <c r="E27" s="7" t="s">
        <v>13</v>
      </c>
      <c r="F27" s="7">
        <v>1.61</v>
      </c>
      <c r="G27" s="29">
        <v>0</v>
      </c>
      <c r="H27" s="29">
        <v>1</v>
      </c>
      <c r="I27" s="13">
        <v>1.79</v>
      </c>
      <c r="J27" s="13">
        <v>1.46</v>
      </c>
      <c r="K27" s="13">
        <v>1.44</v>
      </c>
      <c r="L27" s="13">
        <v>1.52</v>
      </c>
      <c r="M27" s="4">
        <v>0.64</v>
      </c>
      <c r="N27" s="4">
        <v>0.83</v>
      </c>
      <c r="O27" s="13">
        <f t="shared" ref="O27:O30" si="9">I27+J27</f>
        <v>3.25</v>
      </c>
      <c r="P27" s="11">
        <f t="shared" si="8"/>
        <v>0.6211180124223602</v>
      </c>
      <c r="Q27" s="4">
        <v>0.73</v>
      </c>
      <c r="R27" s="11">
        <f t="shared" si="7"/>
        <v>0.10888198757763978</v>
      </c>
      <c r="S27" s="18"/>
    </row>
    <row r="28" spans="1:22" x14ac:dyDescent="0.25">
      <c r="A28" s="27">
        <v>46090</v>
      </c>
      <c r="B28" s="7" t="s">
        <v>101</v>
      </c>
      <c r="C28" s="7" t="s">
        <v>91</v>
      </c>
      <c r="D28" s="7" t="s">
        <v>89</v>
      </c>
      <c r="E28" s="7" t="s">
        <v>83</v>
      </c>
      <c r="F28" s="7">
        <v>1.98</v>
      </c>
      <c r="G28" s="29">
        <v>1</v>
      </c>
      <c r="H28" s="29">
        <v>3</v>
      </c>
      <c r="I28" s="13">
        <v>1.28</v>
      </c>
      <c r="J28" s="13">
        <v>1.7</v>
      </c>
      <c r="K28" s="13">
        <v>1.64</v>
      </c>
      <c r="L28" s="13">
        <v>1.45</v>
      </c>
      <c r="M28" s="4">
        <v>0.5</v>
      </c>
      <c r="N28" s="4">
        <v>0.67</v>
      </c>
      <c r="O28" s="13">
        <f t="shared" si="9"/>
        <v>2.98</v>
      </c>
      <c r="P28" s="11">
        <f t="shared" si="8"/>
        <v>0.50505050505050508</v>
      </c>
      <c r="Q28" s="4">
        <v>0.67</v>
      </c>
      <c r="R28" s="11">
        <f t="shared" si="7"/>
        <v>0.16494949494949496</v>
      </c>
      <c r="S28" s="18"/>
    </row>
    <row r="29" spans="1:22" x14ac:dyDescent="0.25">
      <c r="A29" s="27">
        <v>46090</v>
      </c>
      <c r="B29" s="7" t="s">
        <v>77</v>
      </c>
      <c r="C29" s="7" t="s">
        <v>92</v>
      </c>
      <c r="D29" s="7" t="s">
        <v>93</v>
      </c>
      <c r="E29" s="7" t="s">
        <v>83</v>
      </c>
      <c r="F29" s="7">
        <v>1.98</v>
      </c>
      <c r="G29" s="29">
        <v>0</v>
      </c>
      <c r="H29" s="29">
        <v>3</v>
      </c>
      <c r="I29" s="13">
        <v>1.49</v>
      </c>
      <c r="J29" s="13">
        <v>1.25</v>
      </c>
      <c r="K29" s="13">
        <v>1.62</v>
      </c>
      <c r="L29" s="13">
        <v>1.74</v>
      </c>
      <c r="M29" s="4">
        <v>0.52</v>
      </c>
      <c r="N29" s="4">
        <v>0.52</v>
      </c>
      <c r="O29" s="13">
        <f t="shared" si="9"/>
        <v>2.74</v>
      </c>
      <c r="P29" s="11">
        <f t="shared" si="8"/>
        <v>0.50505050505050508</v>
      </c>
      <c r="Q29" s="4">
        <v>0.6</v>
      </c>
      <c r="R29" s="11">
        <f t="shared" si="7"/>
        <v>9.4949494949494895E-2</v>
      </c>
      <c r="S29" s="18"/>
    </row>
    <row r="30" spans="1:22" x14ac:dyDescent="0.25">
      <c r="A30" s="27">
        <v>46090</v>
      </c>
      <c r="B30" s="7" t="s">
        <v>99</v>
      </c>
      <c r="C30" s="7" t="s">
        <v>94</v>
      </c>
      <c r="D30" s="7" t="s">
        <v>95</v>
      </c>
      <c r="E30" s="3">
        <v>2.5</v>
      </c>
      <c r="F30" s="7">
        <v>2.1</v>
      </c>
      <c r="G30" s="29">
        <v>1</v>
      </c>
      <c r="H30" s="29">
        <v>3</v>
      </c>
      <c r="I30" s="13">
        <v>1.48</v>
      </c>
      <c r="J30" s="13">
        <v>1.58</v>
      </c>
      <c r="K30" s="13">
        <v>1.58</v>
      </c>
      <c r="L30" s="13">
        <v>1.26</v>
      </c>
      <c r="M30" s="4">
        <v>0.42</v>
      </c>
      <c r="N30" s="4">
        <v>0.53</v>
      </c>
      <c r="O30" s="13">
        <f t="shared" si="9"/>
        <v>3.06</v>
      </c>
      <c r="P30" s="11">
        <f t="shared" si="8"/>
        <v>0.47619047619047616</v>
      </c>
      <c r="Q30" s="4">
        <v>0.59</v>
      </c>
      <c r="R30" s="11">
        <f t="shared" si="7"/>
        <v>0.1138095238095238</v>
      </c>
      <c r="S30" s="18"/>
    </row>
    <row r="31" spans="1:22" x14ac:dyDescent="0.25">
      <c r="A31" s="27">
        <v>46090</v>
      </c>
      <c r="B31" s="7" t="s">
        <v>98</v>
      </c>
      <c r="C31" s="7" t="s">
        <v>96</v>
      </c>
      <c r="D31" s="7" t="s">
        <v>97</v>
      </c>
      <c r="E31" s="7" t="s">
        <v>83</v>
      </c>
      <c r="F31" s="3">
        <v>1.94</v>
      </c>
      <c r="G31" s="32">
        <v>1</v>
      </c>
      <c r="H31" s="32">
        <v>1</v>
      </c>
      <c r="I31" s="3">
        <v>1.43</v>
      </c>
      <c r="J31" s="3">
        <v>1.1200000000000001</v>
      </c>
      <c r="K31" s="3">
        <v>1.46</v>
      </c>
      <c r="L31" s="3">
        <v>1.77</v>
      </c>
      <c r="M31" s="4">
        <v>0.54</v>
      </c>
      <c r="N31" s="11">
        <v>0.31</v>
      </c>
      <c r="O31" s="13">
        <f t="shared" ref="O31:O66" si="10">I31+J31</f>
        <v>2.5499999999999998</v>
      </c>
      <c r="P31" s="11">
        <f t="shared" ref="P31:P66" si="11">1/F31</f>
        <v>0.51546391752577325</v>
      </c>
      <c r="Q31" s="4">
        <v>0.6</v>
      </c>
      <c r="R31" s="11">
        <f t="shared" si="7"/>
        <v>8.4536082474226726E-2</v>
      </c>
      <c r="S31" s="18"/>
    </row>
    <row r="32" spans="1:22" x14ac:dyDescent="0.25">
      <c r="A32" s="27">
        <v>46091</v>
      </c>
      <c r="B32" s="7" t="s">
        <v>103</v>
      </c>
      <c r="C32" s="7" t="s">
        <v>33</v>
      </c>
      <c r="D32" s="7" t="s">
        <v>102</v>
      </c>
      <c r="E32" s="3">
        <v>2.5</v>
      </c>
      <c r="F32" s="7">
        <v>1.45</v>
      </c>
      <c r="G32" s="29">
        <v>2</v>
      </c>
      <c r="H32" s="29">
        <v>1</v>
      </c>
      <c r="I32" s="13">
        <v>1.77</v>
      </c>
      <c r="J32" s="13">
        <v>2.29</v>
      </c>
      <c r="K32" s="13">
        <v>1.48</v>
      </c>
      <c r="L32" s="13">
        <v>0.99</v>
      </c>
      <c r="M32" s="4">
        <v>1</v>
      </c>
      <c r="N32" s="4">
        <v>0.6</v>
      </c>
      <c r="O32" s="13">
        <f t="shared" si="10"/>
        <v>4.0600000000000005</v>
      </c>
      <c r="P32" s="11">
        <f t="shared" si="11"/>
        <v>0.68965517241379315</v>
      </c>
      <c r="Q32" s="4">
        <v>0.83</v>
      </c>
      <c r="R32" s="11">
        <f t="shared" si="7"/>
        <v>0.14034482758620681</v>
      </c>
      <c r="S32" s="18"/>
    </row>
    <row r="33" spans="1:19" x14ac:dyDescent="0.25">
      <c r="A33" s="27">
        <v>46091</v>
      </c>
      <c r="B33" s="7" t="s">
        <v>103</v>
      </c>
      <c r="C33" s="7" t="s">
        <v>33</v>
      </c>
      <c r="D33" s="7" t="s">
        <v>102</v>
      </c>
      <c r="E33" s="7" t="s">
        <v>104</v>
      </c>
      <c r="F33" s="7">
        <v>2.0499999999999998</v>
      </c>
      <c r="G33" s="29">
        <v>2</v>
      </c>
      <c r="H33" s="29">
        <v>1</v>
      </c>
      <c r="I33" s="13">
        <v>1.77</v>
      </c>
      <c r="J33" s="13">
        <v>2.29</v>
      </c>
      <c r="K33" s="13">
        <v>1.48</v>
      </c>
      <c r="L33" s="13">
        <v>0.99</v>
      </c>
      <c r="M33" s="4">
        <v>1</v>
      </c>
      <c r="N33" s="4">
        <v>0.6</v>
      </c>
      <c r="O33" s="13">
        <f t="shared" si="10"/>
        <v>4.0600000000000005</v>
      </c>
      <c r="P33" s="11">
        <f t="shared" si="11"/>
        <v>0.48780487804878053</v>
      </c>
      <c r="Q33" s="4">
        <v>0.65</v>
      </c>
      <c r="R33" s="11">
        <f t="shared" si="7"/>
        <v>0.16219512195121949</v>
      </c>
      <c r="S33" s="18"/>
    </row>
    <row r="34" spans="1:19" x14ac:dyDescent="0.25">
      <c r="A34" s="27">
        <v>46091</v>
      </c>
      <c r="B34" s="7" t="s">
        <v>103</v>
      </c>
      <c r="C34" s="7" t="s">
        <v>105</v>
      </c>
      <c r="D34" s="7" t="s">
        <v>106</v>
      </c>
      <c r="E34" s="3">
        <v>2.5</v>
      </c>
      <c r="F34" s="7">
        <v>1.48</v>
      </c>
      <c r="G34" s="29">
        <v>2</v>
      </c>
      <c r="H34" s="29">
        <v>1</v>
      </c>
      <c r="I34" s="13">
        <v>1.83</v>
      </c>
      <c r="J34" s="13">
        <v>2.0499999999999998</v>
      </c>
      <c r="K34" s="13">
        <v>1.41</v>
      </c>
      <c r="L34" s="13">
        <v>1.21</v>
      </c>
      <c r="M34" s="4">
        <v>0.6</v>
      </c>
      <c r="N34" s="4">
        <v>0.6</v>
      </c>
      <c r="O34" s="13">
        <f t="shared" si="10"/>
        <v>3.88</v>
      </c>
      <c r="P34" s="11">
        <f t="shared" si="11"/>
        <v>0.67567567567567566</v>
      </c>
      <c r="Q34" s="4">
        <v>0.8</v>
      </c>
      <c r="R34" s="11">
        <f t="shared" si="7"/>
        <v>0.12432432432432439</v>
      </c>
      <c r="S34" s="18"/>
    </row>
    <row r="35" spans="1:19" x14ac:dyDescent="0.25">
      <c r="A35" s="27">
        <v>46091</v>
      </c>
      <c r="B35" s="7" t="s">
        <v>103</v>
      </c>
      <c r="C35" s="7" t="s">
        <v>109</v>
      </c>
      <c r="D35" s="7" t="s">
        <v>107</v>
      </c>
      <c r="E35" s="3">
        <v>2.5</v>
      </c>
      <c r="F35" s="7">
        <v>1.48</v>
      </c>
      <c r="G35" s="29">
        <v>1</v>
      </c>
      <c r="H35" s="29">
        <v>6</v>
      </c>
      <c r="I35" s="13">
        <v>1.7</v>
      </c>
      <c r="J35" s="13">
        <v>2.12</v>
      </c>
      <c r="K35" s="13">
        <v>1.33</v>
      </c>
      <c r="L35" s="13">
        <v>1.1599999999999999</v>
      </c>
      <c r="M35" s="4">
        <v>0.6</v>
      </c>
      <c r="N35" s="4">
        <v>0.7</v>
      </c>
      <c r="O35" s="13">
        <f t="shared" si="10"/>
        <v>3.8200000000000003</v>
      </c>
      <c r="P35" s="11">
        <f t="shared" si="11"/>
        <v>0.67567567567567566</v>
      </c>
      <c r="Q35" s="4">
        <v>0.79</v>
      </c>
      <c r="R35" s="11">
        <f t="shared" si="7"/>
        <v>0.11432432432432438</v>
      </c>
      <c r="S35" s="18"/>
    </row>
    <row r="36" spans="1:19" x14ac:dyDescent="0.25">
      <c r="A36" s="27">
        <v>46091</v>
      </c>
      <c r="B36" s="7" t="s">
        <v>116</v>
      </c>
      <c r="C36" s="7" t="s">
        <v>112</v>
      </c>
      <c r="D36" s="7" t="s">
        <v>108</v>
      </c>
      <c r="E36" s="7" t="s">
        <v>13</v>
      </c>
      <c r="F36" s="7">
        <v>1.83</v>
      </c>
      <c r="G36" s="29">
        <v>1</v>
      </c>
      <c r="H36" s="29">
        <v>3</v>
      </c>
      <c r="I36" s="13">
        <v>1.55</v>
      </c>
      <c r="J36" s="13">
        <v>1.4</v>
      </c>
      <c r="K36" s="13">
        <v>1.41</v>
      </c>
      <c r="L36" s="13">
        <v>1.21</v>
      </c>
      <c r="M36" s="4">
        <v>0.71</v>
      </c>
      <c r="N36" s="4">
        <v>0.65</v>
      </c>
      <c r="O36" s="13">
        <f t="shared" si="10"/>
        <v>2.95</v>
      </c>
      <c r="P36" s="11">
        <f t="shared" si="11"/>
        <v>0.54644808743169393</v>
      </c>
      <c r="Q36" s="4">
        <v>0.65</v>
      </c>
      <c r="R36" s="11">
        <f t="shared" si="7"/>
        <v>0.10355191256830609</v>
      </c>
      <c r="S36" s="18"/>
    </row>
    <row r="37" spans="1:19" x14ac:dyDescent="0.25">
      <c r="A37" s="27">
        <v>46091</v>
      </c>
      <c r="B37" s="7" t="s">
        <v>103</v>
      </c>
      <c r="C37" s="7" t="s">
        <v>110</v>
      </c>
      <c r="D37" s="7" t="s">
        <v>111</v>
      </c>
      <c r="E37" s="7" t="s">
        <v>13</v>
      </c>
      <c r="F37" s="7">
        <v>1.75</v>
      </c>
      <c r="G37" s="29">
        <v>5</v>
      </c>
      <c r="H37" s="29">
        <v>2</v>
      </c>
      <c r="I37" s="13">
        <v>1.55</v>
      </c>
      <c r="J37" s="13">
        <v>1.55</v>
      </c>
      <c r="K37" s="13">
        <v>1.5</v>
      </c>
      <c r="L37" s="13">
        <v>1.56</v>
      </c>
      <c r="M37" s="4">
        <v>0.4</v>
      </c>
      <c r="N37" s="4">
        <v>0.7</v>
      </c>
      <c r="O37" s="13">
        <f t="shared" si="10"/>
        <v>3.1</v>
      </c>
      <c r="P37" s="11">
        <f t="shared" si="11"/>
        <v>0.5714285714285714</v>
      </c>
      <c r="Q37" s="4">
        <v>0.65</v>
      </c>
      <c r="R37" s="11">
        <f t="shared" si="7"/>
        <v>7.8571428571428625E-2</v>
      </c>
      <c r="S37" s="18"/>
    </row>
    <row r="38" spans="1:19" x14ac:dyDescent="0.25">
      <c r="A38" s="27">
        <v>46091</v>
      </c>
      <c r="B38" s="7" t="s">
        <v>113</v>
      </c>
      <c r="C38" s="7" t="s">
        <v>114</v>
      </c>
      <c r="D38" s="7" t="s">
        <v>115</v>
      </c>
      <c r="E38" s="7" t="s">
        <v>13</v>
      </c>
      <c r="F38" s="7">
        <v>1.7</v>
      </c>
      <c r="G38" s="29">
        <v>1</v>
      </c>
      <c r="H38" s="29">
        <v>2</v>
      </c>
      <c r="I38" s="7">
        <v>1.31</v>
      </c>
      <c r="J38" s="7">
        <v>1.28</v>
      </c>
      <c r="K38" s="13">
        <v>1.51</v>
      </c>
      <c r="L38" s="13">
        <v>1.69</v>
      </c>
      <c r="M38" s="4">
        <v>0.78</v>
      </c>
      <c r="N38" s="4">
        <v>0.59</v>
      </c>
      <c r="O38" s="13">
        <f t="shared" si="10"/>
        <v>2.59</v>
      </c>
      <c r="P38" s="11">
        <f t="shared" si="11"/>
        <v>0.58823529411764708</v>
      </c>
      <c r="Q38" s="4">
        <v>0.65</v>
      </c>
      <c r="R38" s="11">
        <f t="shared" si="7"/>
        <v>6.1764705882352944E-2</v>
      </c>
    </row>
    <row r="39" spans="1:19" x14ac:dyDescent="0.25">
      <c r="A39" s="27">
        <v>46091</v>
      </c>
      <c r="B39" s="7" t="s">
        <v>117</v>
      </c>
      <c r="C39" s="7" t="s">
        <v>120</v>
      </c>
      <c r="D39" s="7" t="s">
        <v>119</v>
      </c>
      <c r="E39" s="7" t="s">
        <v>13</v>
      </c>
      <c r="F39" s="7">
        <v>2.35</v>
      </c>
      <c r="G39" s="29">
        <v>1</v>
      </c>
      <c r="H39" s="29">
        <v>1</v>
      </c>
      <c r="I39" s="13">
        <v>1.7</v>
      </c>
      <c r="J39" s="13">
        <v>1.24</v>
      </c>
      <c r="K39" s="13">
        <v>1.04</v>
      </c>
      <c r="L39" s="13">
        <v>1.31</v>
      </c>
      <c r="M39" s="4">
        <v>0.5</v>
      </c>
      <c r="N39" s="4">
        <v>0.5</v>
      </c>
      <c r="O39" s="13">
        <f t="shared" si="10"/>
        <v>2.94</v>
      </c>
      <c r="P39" s="11">
        <f t="shared" si="11"/>
        <v>0.42553191489361702</v>
      </c>
      <c r="Q39" s="4">
        <v>0.57999999999999996</v>
      </c>
      <c r="R39" s="11">
        <f t="shared" si="7"/>
        <v>0.15446808510638294</v>
      </c>
    </row>
    <row r="40" spans="1:19" x14ac:dyDescent="0.25">
      <c r="A40" s="27">
        <v>46091</v>
      </c>
      <c r="B40" s="7" t="s">
        <v>117</v>
      </c>
      <c r="C40" s="7" t="s">
        <v>121</v>
      </c>
      <c r="D40" s="7" t="s">
        <v>118</v>
      </c>
      <c r="E40" s="7" t="s">
        <v>13</v>
      </c>
      <c r="F40" s="7">
        <v>2.1</v>
      </c>
      <c r="G40" s="29">
        <v>4</v>
      </c>
      <c r="H40" s="29">
        <v>4</v>
      </c>
      <c r="I40" s="13">
        <v>1.77</v>
      </c>
      <c r="J40" s="13">
        <v>1.49</v>
      </c>
      <c r="K40" s="13">
        <v>0.87</v>
      </c>
      <c r="L40" s="13">
        <v>1.33</v>
      </c>
      <c r="M40" s="4">
        <v>0.5</v>
      </c>
      <c r="N40" s="4">
        <v>0.75</v>
      </c>
      <c r="O40" s="13">
        <f t="shared" si="10"/>
        <v>3.26</v>
      </c>
      <c r="P40" s="11">
        <f t="shared" si="11"/>
        <v>0.47619047619047616</v>
      </c>
      <c r="Q40" s="4">
        <v>0.56999999999999995</v>
      </c>
      <c r="R40" s="11">
        <f t="shared" si="7"/>
        <v>9.3809523809523787E-2</v>
      </c>
    </row>
    <row r="41" spans="1:19" x14ac:dyDescent="0.25">
      <c r="A41" s="27">
        <v>46092</v>
      </c>
      <c r="B41" s="7" t="s">
        <v>103</v>
      </c>
      <c r="C41" s="7" t="s">
        <v>122</v>
      </c>
      <c r="D41" s="7" t="s">
        <v>123</v>
      </c>
      <c r="E41" s="7">
        <v>2.5</v>
      </c>
      <c r="F41" s="7">
        <v>1.65</v>
      </c>
      <c r="G41" s="29">
        <v>3</v>
      </c>
      <c r="H41" s="29">
        <v>0</v>
      </c>
      <c r="I41" s="13">
        <v>1.61</v>
      </c>
      <c r="J41" s="13">
        <v>1.8</v>
      </c>
      <c r="K41" s="13">
        <v>1.91</v>
      </c>
      <c r="L41" s="13">
        <v>0.93</v>
      </c>
      <c r="M41" s="4">
        <v>0.8</v>
      </c>
      <c r="N41" s="4">
        <v>0.6</v>
      </c>
      <c r="O41" s="13">
        <f t="shared" si="10"/>
        <v>3.41</v>
      </c>
      <c r="P41" s="11">
        <f t="shared" si="11"/>
        <v>0.60606060606060608</v>
      </c>
      <c r="Q41" s="4">
        <v>0.75</v>
      </c>
      <c r="R41" s="11">
        <f t="shared" si="7"/>
        <v>0.14393939393939392</v>
      </c>
    </row>
    <row r="42" spans="1:19" x14ac:dyDescent="0.25">
      <c r="A42" s="27">
        <v>46093</v>
      </c>
      <c r="B42" s="7" t="s">
        <v>136</v>
      </c>
      <c r="C42" s="3" t="s">
        <v>127</v>
      </c>
      <c r="D42" s="7" t="s">
        <v>126</v>
      </c>
      <c r="E42" s="7" t="s">
        <v>13</v>
      </c>
      <c r="F42" s="7">
        <v>1.72</v>
      </c>
      <c r="G42" s="29">
        <v>1</v>
      </c>
      <c r="H42" s="29">
        <v>3</v>
      </c>
      <c r="I42" s="13">
        <v>1.37</v>
      </c>
      <c r="J42" s="13">
        <v>1.31</v>
      </c>
      <c r="K42" s="13">
        <v>1.65</v>
      </c>
      <c r="L42" s="13">
        <v>1.56</v>
      </c>
      <c r="M42" s="4">
        <v>0.75</v>
      </c>
      <c r="N42" s="4">
        <v>0.67</v>
      </c>
      <c r="O42" s="13">
        <f t="shared" si="10"/>
        <v>2.68</v>
      </c>
      <c r="P42" s="11">
        <f t="shared" si="11"/>
        <v>0.58139534883720934</v>
      </c>
      <c r="Q42" s="4">
        <v>0.69</v>
      </c>
      <c r="R42" s="11">
        <f t="shared" si="7"/>
        <v>0.10860465116279061</v>
      </c>
    </row>
    <row r="43" spans="1:19" x14ac:dyDescent="0.25">
      <c r="A43" s="27">
        <v>46093</v>
      </c>
      <c r="B43" s="7" t="s">
        <v>125</v>
      </c>
      <c r="C43" s="7" t="s">
        <v>128</v>
      </c>
      <c r="D43" s="7" t="s">
        <v>129</v>
      </c>
      <c r="E43" s="7" t="s">
        <v>13</v>
      </c>
      <c r="F43" s="7">
        <v>1.76</v>
      </c>
      <c r="G43" s="29">
        <v>0</v>
      </c>
      <c r="H43" s="29">
        <v>0</v>
      </c>
      <c r="I43" s="13">
        <v>1.51</v>
      </c>
      <c r="J43" s="13">
        <v>1.23</v>
      </c>
      <c r="K43" s="13">
        <v>1.21</v>
      </c>
      <c r="L43" s="13">
        <v>1.86</v>
      </c>
      <c r="M43" s="4">
        <v>0.6</v>
      </c>
      <c r="N43" s="4">
        <v>0.8</v>
      </c>
      <c r="O43" s="13">
        <f t="shared" si="10"/>
        <v>2.74</v>
      </c>
      <c r="P43" s="11">
        <f t="shared" si="11"/>
        <v>0.56818181818181823</v>
      </c>
      <c r="Q43" s="4">
        <v>0.66</v>
      </c>
      <c r="R43" s="11">
        <f t="shared" si="7"/>
        <v>9.1818181818181799E-2</v>
      </c>
    </row>
    <row r="44" spans="1:19" x14ac:dyDescent="0.25">
      <c r="A44" s="27">
        <v>46093</v>
      </c>
      <c r="B44" s="7" t="s">
        <v>124</v>
      </c>
      <c r="C44" s="7" t="s">
        <v>130</v>
      </c>
      <c r="D44" s="7" t="s">
        <v>133</v>
      </c>
      <c r="E44" s="7" t="s">
        <v>13</v>
      </c>
      <c r="F44" s="7">
        <v>1.76</v>
      </c>
      <c r="G44" s="29">
        <v>1</v>
      </c>
      <c r="H44" s="29">
        <v>1</v>
      </c>
      <c r="I44" s="13">
        <v>1.35</v>
      </c>
      <c r="J44" s="13">
        <v>1.31</v>
      </c>
      <c r="K44" s="13">
        <v>1.05</v>
      </c>
      <c r="L44" s="13">
        <v>1.39</v>
      </c>
      <c r="M44" s="4">
        <v>0.7</v>
      </c>
      <c r="N44" s="4">
        <v>0.6</v>
      </c>
      <c r="O44" s="13">
        <f t="shared" si="10"/>
        <v>2.66</v>
      </c>
      <c r="P44" s="11">
        <f t="shared" si="11"/>
        <v>0.56818181818181823</v>
      </c>
      <c r="Q44" s="4">
        <v>0.66</v>
      </c>
      <c r="R44" s="11">
        <f t="shared" si="7"/>
        <v>9.1818181818181799E-2</v>
      </c>
    </row>
    <row r="45" spans="1:19" x14ac:dyDescent="0.25">
      <c r="A45" s="27">
        <v>46093</v>
      </c>
      <c r="B45" s="7" t="s">
        <v>125</v>
      </c>
      <c r="C45" s="7" t="s">
        <v>131</v>
      </c>
      <c r="D45" s="7" t="s">
        <v>132</v>
      </c>
      <c r="E45" s="7" t="s">
        <v>13</v>
      </c>
      <c r="F45" s="7">
        <v>1.72</v>
      </c>
      <c r="G45" s="29">
        <v>1</v>
      </c>
      <c r="H45" s="29">
        <v>2</v>
      </c>
      <c r="I45" s="13">
        <v>1.6</v>
      </c>
      <c r="J45" s="13">
        <v>1.37</v>
      </c>
      <c r="K45" s="13">
        <v>1.65</v>
      </c>
      <c r="L45" s="13">
        <v>1.6</v>
      </c>
      <c r="M45" s="4">
        <v>0.67</v>
      </c>
      <c r="N45" s="4">
        <v>0.75</v>
      </c>
      <c r="O45" s="13">
        <f t="shared" si="10"/>
        <v>2.97</v>
      </c>
      <c r="P45" s="11">
        <f t="shared" si="11"/>
        <v>0.58139534883720934</v>
      </c>
      <c r="Q45" s="4">
        <v>0.67</v>
      </c>
      <c r="R45" s="11">
        <f t="shared" si="7"/>
        <v>8.8604651162790704E-2</v>
      </c>
    </row>
    <row r="46" spans="1:19" x14ac:dyDescent="0.25">
      <c r="A46" s="27">
        <v>46093</v>
      </c>
      <c r="B46" s="7" t="s">
        <v>136</v>
      </c>
      <c r="C46" s="7" t="s">
        <v>134</v>
      </c>
      <c r="D46" s="7" t="s">
        <v>135</v>
      </c>
      <c r="E46" s="7">
        <v>2.5</v>
      </c>
      <c r="F46" s="7">
        <v>1.9</v>
      </c>
      <c r="G46" s="29">
        <v>2</v>
      </c>
      <c r="H46" s="29">
        <v>2</v>
      </c>
      <c r="I46" s="13">
        <v>1.49</v>
      </c>
      <c r="J46" s="13">
        <v>1.36</v>
      </c>
      <c r="K46" s="13">
        <v>1.23</v>
      </c>
      <c r="L46" s="13">
        <v>1.67</v>
      </c>
      <c r="M46" s="4">
        <v>0.57999999999999996</v>
      </c>
      <c r="N46" s="4">
        <v>0.57999999999999996</v>
      </c>
      <c r="O46" s="13">
        <f t="shared" si="10"/>
        <v>2.85</v>
      </c>
      <c r="P46" s="11">
        <f t="shared" si="11"/>
        <v>0.52631578947368418</v>
      </c>
      <c r="Q46" s="4">
        <v>0.61</v>
      </c>
      <c r="R46" s="11">
        <f t="shared" si="7"/>
        <v>8.3684210526315805E-2</v>
      </c>
    </row>
    <row r="47" spans="1:19" x14ac:dyDescent="0.25">
      <c r="A47" s="27">
        <v>46093</v>
      </c>
      <c r="B47" s="7" t="s">
        <v>125</v>
      </c>
      <c r="C47" s="7" t="s">
        <v>137</v>
      </c>
      <c r="D47" s="7" t="s">
        <v>138</v>
      </c>
      <c r="E47" s="7" t="s">
        <v>13</v>
      </c>
      <c r="F47" s="7">
        <v>1.67</v>
      </c>
      <c r="G47" s="29">
        <v>1</v>
      </c>
      <c r="H47" s="29">
        <v>3</v>
      </c>
      <c r="I47" s="13">
        <v>2.17</v>
      </c>
      <c r="J47" s="13">
        <v>1.97</v>
      </c>
      <c r="K47" s="13">
        <v>1.37</v>
      </c>
      <c r="L47" s="13">
        <v>0.56999999999999995</v>
      </c>
      <c r="M47" s="4">
        <v>0.4</v>
      </c>
      <c r="N47" s="4">
        <v>0.2</v>
      </c>
      <c r="O47" s="13">
        <f t="shared" si="10"/>
        <v>4.1399999999999997</v>
      </c>
      <c r="P47" s="11">
        <f t="shared" si="11"/>
        <v>0.5988023952095809</v>
      </c>
      <c r="Q47" s="4">
        <v>0.65</v>
      </c>
      <c r="R47" s="11">
        <f t="shared" si="7"/>
        <v>5.1197604790419127E-2</v>
      </c>
    </row>
    <row r="48" spans="1:19" x14ac:dyDescent="0.25">
      <c r="A48" s="27">
        <v>46093</v>
      </c>
      <c r="B48" s="7" t="s">
        <v>117</v>
      </c>
      <c r="C48" s="7" t="s">
        <v>142</v>
      </c>
      <c r="D48" s="7" t="s">
        <v>141</v>
      </c>
      <c r="E48" s="7" t="s">
        <v>13</v>
      </c>
      <c r="F48" s="7">
        <v>2.35</v>
      </c>
      <c r="G48" s="29">
        <v>1</v>
      </c>
      <c r="H48" s="29">
        <v>1</v>
      </c>
      <c r="I48" s="13">
        <v>1.31</v>
      </c>
      <c r="J48" s="13">
        <v>1.57</v>
      </c>
      <c r="K48" s="13">
        <v>0.8</v>
      </c>
      <c r="L48" s="13">
        <v>1.33</v>
      </c>
      <c r="M48" s="4">
        <v>0.5</v>
      </c>
      <c r="N48" s="4">
        <v>0.2</v>
      </c>
      <c r="O48" s="13">
        <f t="shared" si="10"/>
        <v>2.88</v>
      </c>
      <c r="P48" s="11">
        <f t="shared" si="11"/>
        <v>0.42553191489361702</v>
      </c>
      <c r="Q48" s="4">
        <v>0.55000000000000004</v>
      </c>
      <c r="R48" s="11">
        <f t="shared" si="7"/>
        <v>0.12446808510638302</v>
      </c>
    </row>
    <row r="49" spans="1:18" x14ac:dyDescent="0.25">
      <c r="A49" s="27">
        <v>46093</v>
      </c>
      <c r="B49" s="7" t="s">
        <v>139</v>
      </c>
      <c r="C49" s="7" t="s">
        <v>143</v>
      </c>
      <c r="D49" s="7" t="s">
        <v>140</v>
      </c>
      <c r="E49" s="7" t="s">
        <v>13</v>
      </c>
      <c r="F49" s="7">
        <v>1.75</v>
      </c>
      <c r="G49" s="29">
        <v>0</v>
      </c>
      <c r="H49" s="29">
        <v>2</v>
      </c>
      <c r="I49" s="13">
        <v>1.54</v>
      </c>
      <c r="J49" s="13">
        <v>1.74</v>
      </c>
      <c r="K49" s="13">
        <v>1.4</v>
      </c>
      <c r="L49" s="13">
        <v>1.74</v>
      </c>
      <c r="M49" s="4">
        <v>1</v>
      </c>
      <c r="N49" s="4">
        <v>1</v>
      </c>
      <c r="O49" s="13">
        <f t="shared" si="10"/>
        <v>3.2800000000000002</v>
      </c>
      <c r="P49" s="11">
        <f t="shared" si="11"/>
        <v>0.5714285714285714</v>
      </c>
      <c r="Q49" s="4">
        <v>0.69</v>
      </c>
      <c r="R49" s="11">
        <f t="shared" si="7"/>
        <v>0.11857142857142855</v>
      </c>
    </row>
    <row r="50" spans="1:18" x14ac:dyDescent="0.25">
      <c r="A50" s="27">
        <v>46094</v>
      </c>
      <c r="B50" s="7" t="s">
        <v>144</v>
      </c>
      <c r="C50" s="7" t="s">
        <v>145</v>
      </c>
      <c r="D50" s="7" t="s">
        <v>148</v>
      </c>
      <c r="E50" s="7" t="s">
        <v>147</v>
      </c>
      <c r="F50" s="7">
        <v>1.53</v>
      </c>
      <c r="G50" s="29">
        <v>2</v>
      </c>
      <c r="H50" s="29">
        <v>0</v>
      </c>
      <c r="I50" s="13">
        <v>1.48</v>
      </c>
      <c r="J50" s="13">
        <v>1.1399999999999999</v>
      </c>
      <c r="K50" s="13">
        <v>1.79</v>
      </c>
      <c r="L50" s="13">
        <v>1.97</v>
      </c>
      <c r="M50" s="4">
        <v>0.67</v>
      </c>
      <c r="N50" s="4">
        <v>0.62</v>
      </c>
      <c r="O50" s="13">
        <f t="shared" si="10"/>
        <v>2.62</v>
      </c>
      <c r="P50" s="11">
        <f t="shared" si="11"/>
        <v>0.65359477124183007</v>
      </c>
      <c r="Q50" s="4">
        <v>0.7</v>
      </c>
      <c r="R50" s="11">
        <f t="shared" si="7"/>
        <v>4.6405228758169881E-2</v>
      </c>
    </row>
    <row r="51" spans="1:18" x14ac:dyDescent="0.25">
      <c r="A51" s="27">
        <v>46094</v>
      </c>
      <c r="B51" s="7" t="s">
        <v>113</v>
      </c>
      <c r="C51" s="7" t="s">
        <v>114</v>
      </c>
      <c r="D51" s="7" t="s">
        <v>146</v>
      </c>
      <c r="E51" s="7" t="s">
        <v>147</v>
      </c>
      <c r="F51" s="7">
        <v>1.65</v>
      </c>
      <c r="G51" s="29">
        <v>2</v>
      </c>
      <c r="H51" s="29">
        <v>0</v>
      </c>
      <c r="I51" s="13">
        <v>1.61</v>
      </c>
      <c r="J51" s="13">
        <v>1.25</v>
      </c>
      <c r="K51" s="13">
        <v>1.31</v>
      </c>
      <c r="L51" s="13">
        <v>1.55</v>
      </c>
      <c r="M51" s="4">
        <v>0.79</v>
      </c>
      <c r="N51" s="4">
        <v>0.44</v>
      </c>
      <c r="O51" s="13">
        <f t="shared" si="10"/>
        <v>2.8600000000000003</v>
      </c>
      <c r="P51" s="11">
        <f t="shared" si="11"/>
        <v>0.60606060606060608</v>
      </c>
      <c r="Q51" s="4">
        <v>0.68</v>
      </c>
      <c r="R51" s="11">
        <f t="shared" si="7"/>
        <v>7.3939393939393971E-2</v>
      </c>
    </row>
    <row r="52" spans="1:18" x14ac:dyDescent="0.25">
      <c r="A52" s="27">
        <v>46095</v>
      </c>
      <c r="B52" s="7" t="s">
        <v>77</v>
      </c>
      <c r="C52" s="7" t="s">
        <v>154</v>
      </c>
      <c r="D52" s="7" t="s">
        <v>155</v>
      </c>
      <c r="E52" s="7" t="s">
        <v>13</v>
      </c>
      <c r="F52" s="7">
        <v>1.8</v>
      </c>
      <c r="G52" s="29">
        <v>1</v>
      </c>
      <c r="H52" s="29">
        <v>2</v>
      </c>
      <c r="I52" s="13">
        <v>1.94</v>
      </c>
      <c r="J52" s="13">
        <v>1.48</v>
      </c>
      <c r="K52" s="13">
        <v>1.5</v>
      </c>
      <c r="L52" s="13">
        <v>1.58</v>
      </c>
      <c r="M52" s="4">
        <v>0.7</v>
      </c>
      <c r="N52" s="4">
        <v>0.57999999999999996</v>
      </c>
      <c r="O52" s="13">
        <f t="shared" si="10"/>
        <v>3.42</v>
      </c>
      <c r="P52" s="11">
        <f t="shared" si="11"/>
        <v>0.55555555555555558</v>
      </c>
      <c r="Q52" s="4">
        <v>0.7</v>
      </c>
      <c r="R52" s="11">
        <f t="shared" si="7"/>
        <v>0.14444444444444438</v>
      </c>
    </row>
    <row r="53" spans="1:18" x14ac:dyDescent="0.25">
      <c r="A53" s="27">
        <v>46095</v>
      </c>
      <c r="B53" s="7" t="s">
        <v>82</v>
      </c>
      <c r="C53" s="7" t="s">
        <v>84</v>
      </c>
      <c r="D53" s="7" t="s">
        <v>153</v>
      </c>
      <c r="E53" s="7" t="s">
        <v>13</v>
      </c>
      <c r="F53" s="7">
        <v>1.7</v>
      </c>
      <c r="G53" s="29">
        <v>1</v>
      </c>
      <c r="H53" s="29">
        <v>2</v>
      </c>
      <c r="I53" s="13">
        <v>1.46</v>
      </c>
      <c r="J53" s="13">
        <v>1.7</v>
      </c>
      <c r="K53" s="13">
        <v>1.56</v>
      </c>
      <c r="L53" s="13">
        <v>1.34</v>
      </c>
      <c r="M53" s="4">
        <v>0.75</v>
      </c>
      <c r="N53" s="4">
        <v>0.55000000000000004</v>
      </c>
      <c r="O53" s="13">
        <f t="shared" si="10"/>
        <v>3.16</v>
      </c>
      <c r="P53" s="11">
        <f t="shared" si="11"/>
        <v>0.58823529411764708</v>
      </c>
      <c r="Q53" s="4">
        <v>0.67</v>
      </c>
      <c r="R53" s="11">
        <f t="shared" si="7"/>
        <v>8.1764705882352962E-2</v>
      </c>
    </row>
    <row r="54" spans="1:18" x14ac:dyDescent="0.25">
      <c r="A54" s="27">
        <v>46095</v>
      </c>
      <c r="B54" s="7" t="s">
        <v>149</v>
      </c>
      <c r="C54" s="7" t="s">
        <v>152</v>
      </c>
      <c r="D54" s="7" t="s">
        <v>86</v>
      </c>
      <c r="E54" s="7" t="s">
        <v>147</v>
      </c>
      <c r="F54" s="7">
        <v>1.65</v>
      </c>
      <c r="G54" s="29">
        <v>2</v>
      </c>
      <c r="H54" s="29">
        <v>0</v>
      </c>
      <c r="I54" s="13">
        <v>1.27</v>
      </c>
      <c r="J54" s="13">
        <v>1.51</v>
      </c>
      <c r="K54" s="13">
        <v>1.37</v>
      </c>
      <c r="L54" s="13">
        <v>1.54</v>
      </c>
      <c r="M54" s="4">
        <v>0.5</v>
      </c>
      <c r="N54" s="4">
        <v>0.71</v>
      </c>
      <c r="O54" s="13">
        <f t="shared" si="10"/>
        <v>2.7800000000000002</v>
      </c>
      <c r="P54" s="11">
        <f t="shared" si="11"/>
        <v>0.60606060606060608</v>
      </c>
      <c r="Q54" s="4">
        <v>0.68</v>
      </c>
      <c r="R54" s="11">
        <f t="shared" si="7"/>
        <v>7.3939393939393971E-2</v>
      </c>
    </row>
    <row r="55" spans="1:18" x14ac:dyDescent="0.25">
      <c r="A55" s="27">
        <v>46095</v>
      </c>
      <c r="B55" s="7" t="s">
        <v>28</v>
      </c>
      <c r="C55" s="7" t="s">
        <v>150</v>
      </c>
      <c r="D55" s="7" t="s">
        <v>151</v>
      </c>
      <c r="E55" s="7">
        <v>2.5</v>
      </c>
      <c r="F55" s="7">
        <v>1.77</v>
      </c>
      <c r="G55" s="29">
        <v>2</v>
      </c>
      <c r="H55" s="29">
        <v>1</v>
      </c>
      <c r="I55" s="13">
        <v>1.66</v>
      </c>
      <c r="J55" s="13">
        <v>1.43</v>
      </c>
      <c r="K55" s="13">
        <v>1.4</v>
      </c>
      <c r="L55" s="13">
        <v>1.96</v>
      </c>
      <c r="M55" s="4">
        <v>0.75</v>
      </c>
      <c r="N55" s="4">
        <v>0.57999999999999996</v>
      </c>
      <c r="O55" s="13">
        <f t="shared" si="10"/>
        <v>3.09</v>
      </c>
      <c r="P55" s="11">
        <f t="shared" si="11"/>
        <v>0.56497175141242939</v>
      </c>
      <c r="Q55" s="4">
        <v>0.66</v>
      </c>
      <c r="R55" s="11">
        <f t="shared" si="7"/>
        <v>9.5028248587570641E-2</v>
      </c>
    </row>
    <row r="56" spans="1:18" x14ac:dyDescent="0.25">
      <c r="A56" s="27">
        <v>46095</v>
      </c>
      <c r="B56" s="7" t="s">
        <v>156</v>
      </c>
      <c r="C56" s="7" t="s">
        <v>159</v>
      </c>
      <c r="D56" s="7" t="s">
        <v>160</v>
      </c>
      <c r="E56" s="7" t="s">
        <v>13</v>
      </c>
      <c r="F56" s="7">
        <v>1.75</v>
      </c>
      <c r="G56" s="29">
        <v>0</v>
      </c>
      <c r="H56" s="29">
        <v>2</v>
      </c>
      <c r="I56" s="13">
        <v>0.86</v>
      </c>
      <c r="J56" s="13">
        <v>1.25</v>
      </c>
      <c r="K56" s="13">
        <v>1.96</v>
      </c>
      <c r="L56" s="13">
        <v>1.32</v>
      </c>
      <c r="M56" s="4">
        <v>1</v>
      </c>
      <c r="N56" s="4">
        <v>0.5</v>
      </c>
      <c r="O56" s="13">
        <f t="shared" si="10"/>
        <v>2.11</v>
      </c>
      <c r="P56" s="11">
        <f t="shared" si="11"/>
        <v>0.5714285714285714</v>
      </c>
      <c r="Q56" s="4">
        <v>0.62</v>
      </c>
      <c r="R56" s="11">
        <f t="shared" si="7"/>
        <v>4.8571428571428599E-2</v>
      </c>
    </row>
    <row r="57" spans="1:18" x14ac:dyDescent="0.25">
      <c r="A57" s="27">
        <v>46095</v>
      </c>
      <c r="B57" s="7" t="s">
        <v>139</v>
      </c>
      <c r="C57" s="7" t="s">
        <v>157</v>
      </c>
      <c r="D57" s="7" t="s">
        <v>158</v>
      </c>
      <c r="E57" s="7" t="s">
        <v>13</v>
      </c>
      <c r="F57" s="7">
        <v>1.95</v>
      </c>
      <c r="G57" s="29">
        <v>2</v>
      </c>
      <c r="H57" s="29">
        <v>0</v>
      </c>
      <c r="I57" s="13">
        <v>1.77</v>
      </c>
      <c r="J57" s="13">
        <v>1.3</v>
      </c>
      <c r="K57" s="13">
        <v>0.97</v>
      </c>
      <c r="L57" s="13">
        <v>1.42</v>
      </c>
      <c r="M57" s="4">
        <v>0.4</v>
      </c>
      <c r="N57" s="4">
        <v>0.5</v>
      </c>
      <c r="O57" s="13">
        <f t="shared" si="10"/>
        <v>3.0700000000000003</v>
      </c>
      <c r="P57" s="11">
        <f t="shared" si="11"/>
        <v>0.51282051282051289</v>
      </c>
      <c r="Q57" s="4">
        <v>0.6</v>
      </c>
      <c r="R57" s="11">
        <f t="shared" si="7"/>
        <v>8.7179487179487092E-2</v>
      </c>
    </row>
    <row r="58" spans="1:18" x14ac:dyDescent="0.25">
      <c r="A58" s="27">
        <v>46096</v>
      </c>
      <c r="B58" s="7" t="s">
        <v>98</v>
      </c>
      <c r="C58" s="7" t="s">
        <v>161</v>
      </c>
      <c r="D58" s="7" t="s">
        <v>130</v>
      </c>
      <c r="E58" s="7" t="s">
        <v>147</v>
      </c>
      <c r="F58" s="7">
        <v>1.57</v>
      </c>
      <c r="G58" s="29">
        <v>1</v>
      </c>
      <c r="H58" s="29">
        <v>1</v>
      </c>
      <c r="I58" s="13">
        <v>1.66</v>
      </c>
      <c r="J58" s="13">
        <v>1.17</v>
      </c>
      <c r="K58" s="13">
        <v>1.39</v>
      </c>
      <c r="L58" s="13">
        <v>1.44</v>
      </c>
      <c r="M58" s="4">
        <v>0.54</v>
      </c>
      <c r="N58" s="4">
        <v>0.62</v>
      </c>
      <c r="O58" s="13">
        <f t="shared" si="10"/>
        <v>2.83</v>
      </c>
      <c r="P58" s="11">
        <f t="shared" si="11"/>
        <v>0.63694267515923564</v>
      </c>
      <c r="Q58" s="4">
        <v>0.73</v>
      </c>
      <c r="R58" s="11">
        <f t="shared" si="7"/>
        <v>9.3057324840764344E-2</v>
      </c>
    </row>
    <row r="59" spans="1:18" x14ac:dyDescent="0.25">
      <c r="A59" s="27">
        <v>46096</v>
      </c>
      <c r="B59" s="7" t="s">
        <v>139</v>
      </c>
      <c r="C59" s="7" t="s">
        <v>162</v>
      </c>
      <c r="D59" s="7" t="s">
        <v>163</v>
      </c>
      <c r="E59" s="7" t="s">
        <v>13</v>
      </c>
      <c r="F59" s="7">
        <v>1.9</v>
      </c>
      <c r="G59" s="29">
        <v>2</v>
      </c>
      <c r="H59" s="29">
        <v>1</v>
      </c>
      <c r="I59" s="13">
        <v>1.55</v>
      </c>
      <c r="J59" s="13">
        <v>1.53</v>
      </c>
      <c r="K59" s="13">
        <v>0.71</v>
      </c>
      <c r="L59" s="13">
        <v>1.67</v>
      </c>
      <c r="M59" s="4">
        <v>0.4</v>
      </c>
      <c r="N59" s="4">
        <v>0.8</v>
      </c>
      <c r="O59" s="13">
        <f t="shared" si="10"/>
        <v>3.08</v>
      </c>
      <c r="P59" s="11">
        <f t="shared" si="11"/>
        <v>0.52631578947368418</v>
      </c>
      <c r="Q59" s="4">
        <v>0.57999999999999996</v>
      </c>
      <c r="R59" s="11">
        <f t="shared" si="7"/>
        <v>5.3684210526315779E-2</v>
      </c>
    </row>
    <row r="60" spans="1:18" x14ac:dyDescent="0.25">
      <c r="A60" s="27">
        <v>46096</v>
      </c>
      <c r="B60" s="7" t="s">
        <v>117</v>
      </c>
      <c r="C60" s="7" t="s">
        <v>164</v>
      </c>
      <c r="D60" s="7" t="s">
        <v>165</v>
      </c>
      <c r="E60" s="7" t="s">
        <v>13</v>
      </c>
      <c r="F60" s="7">
        <v>1.95</v>
      </c>
      <c r="G60" s="29">
        <v>2</v>
      </c>
      <c r="H60" s="29">
        <v>2</v>
      </c>
      <c r="I60" s="13">
        <v>1.35</v>
      </c>
      <c r="J60" s="13">
        <v>1.26</v>
      </c>
      <c r="K60" s="13">
        <v>1.35</v>
      </c>
      <c r="L60" s="13">
        <v>1.21</v>
      </c>
      <c r="M60" s="4">
        <v>0.75</v>
      </c>
      <c r="N60" s="4">
        <v>0.67</v>
      </c>
      <c r="O60" s="13">
        <f t="shared" si="10"/>
        <v>2.6100000000000003</v>
      </c>
      <c r="P60" s="11">
        <f t="shared" si="11"/>
        <v>0.51282051282051289</v>
      </c>
      <c r="Q60" s="4">
        <v>0.6</v>
      </c>
      <c r="R60" s="11">
        <f t="shared" si="7"/>
        <v>8.7179487179487092E-2</v>
      </c>
    </row>
    <row r="61" spans="1:18" x14ac:dyDescent="0.25">
      <c r="A61" s="27">
        <v>46096</v>
      </c>
      <c r="B61" s="7" t="s">
        <v>166</v>
      </c>
      <c r="C61" s="7" t="s">
        <v>167</v>
      </c>
      <c r="D61" s="7" t="s">
        <v>168</v>
      </c>
      <c r="E61" s="7" t="s">
        <v>147</v>
      </c>
      <c r="F61" s="7">
        <v>1.65</v>
      </c>
      <c r="G61" s="29">
        <v>1</v>
      </c>
      <c r="H61" s="29">
        <v>2</v>
      </c>
      <c r="I61" s="13">
        <v>1.8</v>
      </c>
      <c r="J61" s="13">
        <v>1.58</v>
      </c>
      <c r="K61" s="13">
        <v>1.4</v>
      </c>
      <c r="L61" s="13">
        <v>1.19</v>
      </c>
      <c r="M61" s="4">
        <v>0.67</v>
      </c>
      <c r="N61" s="4">
        <v>0.25</v>
      </c>
      <c r="O61" s="13">
        <f t="shared" si="10"/>
        <v>3.38</v>
      </c>
      <c r="P61" s="11">
        <f t="shared" si="11"/>
        <v>0.60606060606060608</v>
      </c>
      <c r="Q61" s="4">
        <v>0.75</v>
      </c>
      <c r="R61" s="11">
        <f t="shared" si="7"/>
        <v>0.14393939393939392</v>
      </c>
    </row>
    <row r="62" spans="1:18" x14ac:dyDescent="0.25">
      <c r="A62" s="27">
        <v>46097</v>
      </c>
      <c r="B62" s="7" t="s">
        <v>169</v>
      </c>
      <c r="C62" s="7" t="s">
        <v>176</v>
      </c>
      <c r="D62" s="7" t="s">
        <v>175</v>
      </c>
      <c r="E62" s="7" t="s">
        <v>13</v>
      </c>
      <c r="F62" s="7">
        <v>1.77</v>
      </c>
      <c r="G62" s="29">
        <v>2</v>
      </c>
      <c r="H62" s="29">
        <v>2</v>
      </c>
      <c r="I62" s="13">
        <v>1.47</v>
      </c>
      <c r="J62" s="13">
        <v>1.49</v>
      </c>
      <c r="K62" s="13">
        <v>1.84</v>
      </c>
      <c r="L62" s="13">
        <v>1.74</v>
      </c>
      <c r="M62" s="4">
        <v>0.77</v>
      </c>
      <c r="N62" s="4">
        <v>0.62</v>
      </c>
      <c r="O62" s="13">
        <f t="shared" si="10"/>
        <v>2.96</v>
      </c>
      <c r="P62" s="11">
        <f t="shared" si="11"/>
        <v>0.56497175141242939</v>
      </c>
      <c r="Q62" s="4">
        <v>0.65</v>
      </c>
      <c r="R62" s="11">
        <f t="shared" si="7"/>
        <v>8.5028248587570632E-2</v>
      </c>
    </row>
    <row r="63" spans="1:18" x14ac:dyDescent="0.25">
      <c r="A63" s="27">
        <v>46097</v>
      </c>
      <c r="B63" s="7" t="s">
        <v>117</v>
      </c>
      <c r="C63" s="7" t="s">
        <v>173</v>
      </c>
      <c r="D63" s="7" t="s">
        <v>174</v>
      </c>
      <c r="E63" s="7" t="s">
        <v>13</v>
      </c>
      <c r="F63" s="7">
        <v>2.25</v>
      </c>
      <c r="G63" s="29">
        <v>2</v>
      </c>
      <c r="H63" s="29">
        <v>1</v>
      </c>
      <c r="I63" s="13">
        <v>1.39</v>
      </c>
      <c r="J63" s="13">
        <v>1.1599999999999999</v>
      </c>
      <c r="K63" s="13">
        <v>1.73</v>
      </c>
      <c r="L63" s="13">
        <v>1.41</v>
      </c>
      <c r="M63" s="4">
        <v>0.5</v>
      </c>
      <c r="N63" s="4">
        <v>1</v>
      </c>
      <c r="O63" s="13">
        <f t="shared" si="10"/>
        <v>2.5499999999999998</v>
      </c>
      <c r="P63" s="11">
        <f t="shared" si="11"/>
        <v>0.44444444444444442</v>
      </c>
      <c r="Q63" s="4">
        <v>0.52</v>
      </c>
      <c r="R63" s="11">
        <f t="shared" si="7"/>
        <v>7.5555555555555598E-2</v>
      </c>
    </row>
    <row r="64" spans="1:18" x14ac:dyDescent="0.25">
      <c r="A64" s="27">
        <v>46097</v>
      </c>
      <c r="B64" s="7" t="s">
        <v>170</v>
      </c>
      <c r="C64" s="7" t="s">
        <v>171</v>
      </c>
      <c r="D64" s="7" t="s">
        <v>172</v>
      </c>
      <c r="E64" s="7" t="s">
        <v>13</v>
      </c>
      <c r="F64" s="7">
        <v>1.85</v>
      </c>
      <c r="G64" s="29">
        <v>2</v>
      </c>
      <c r="H64" s="29">
        <v>1</v>
      </c>
      <c r="I64" s="13">
        <v>1.91</v>
      </c>
      <c r="J64" s="13">
        <v>1.51</v>
      </c>
      <c r="K64" s="13">
        <v>1.29</v>
      </c>
      <c r="L64" s="13">
        <v>1.61</v>
      </c>
      <c r="M64" s="4">
        <v>0.67</v>
      </c>
      <c r="N64" s="4">
        <v>0.53</v>
      </c>
      <c r="O64" s="13">
        <f t="shared" si="10"/>
        <v>3.42</v>
      </c>
      <c r="P64" s="11">
        <f t="shared" si="11"/>
        <v>0.54054054054054046</v>
      </c>
      <c r="Q64" s="4">
        <v>0.61</v>
      </c>
      <c r="R64" s="11">
        <f t="shared" si="7"/>
        <v>6.9459459459459527E-2</v>
      </c>
    </row>
    <row r="65" spans="1:18" x14ac:dyDescent="0.25">
      <c r="A65" s="27">
        <v>46097</v>
      </c>
      <c r="B65" s="7" t="s">
        <v>139</v>
      </c>
      <c r="C65" s="7" t="s">
        <v>178</v>
      </c>
      <c r="D65" s="7" t="s">
        <v>177</v>
      </c>
      <c r="E65" s="7" t="s">
        <v>13</v>
      </c>
      <c r="F65" s="7">
        <v>1.77</v>
      </c>
      <c r="G65" s="29">
        <v>1</v>
      </c>
      <c r="H65" s="29">
        <v>1</v>
      </c>
      <c r="I65" s="13">
        <v>1.74</v>
      </c>
      <c r="J65" s="13">
        <v>0.83</v>
      </c>
      <c r="K65" s="13">
        <v>1.6</v>
      </c>
      <c r="L65" s="13">
        <v>1.62</v>
      </c>
      <c r="M65" s="4">
        <v>0.4</v>
      </c>
      <c r="N65" s="4">
        <v>0.67</v>
      </c>
      <c r="O65" s="13">
        <f t="shared" si="10"/>
        <v>2.57</v>
      </c>
      <c r="P65" s="11">
        <f t="shared" si="11"/>
        <v>0.56497175141242939</v>
      </c>
      <c r="Q65" s="4">
        <v>0.63</v>
      </c>
      <c r="R65" s="11">
        <f t="shared" si="7"/>
        <v>6.5028248587570614E-2</v>
      </c>
    </row>
    <row r="66" spans="1:18" x14ac:dyDescent="0.25">
      <c r="A66" s="27">
        <v>46097</v>
      </c>
      <c r="B66" s="7" t="s">
        <v>117</v>
      </c>
      <c r="C66" s="7" t="s">
        <v>179</v>
      </c>
      <c r="D66" s="7" t="s">
        <v>121</v>
      </c>
      <c r="E66" s="7" t="s">
        <v>13</v>
      </c>
      <c r="F66" s="7">
        <v>2.1</v>
      </c>
      <c r="G66" s="29">
        <v>2</v>
      </c>
      <c r="H66" s="29">
        <v>1</v>
      </c>
      <c r="I66" s="13">
        <v>1.33</v>
      </c>
      <c r="J66" s="13">
        <v>1.34</v>
      </c>
      <c r="K66" s="13">
        <v>1.02</v>
      </c>
      <c r="L66" s="13">
        <v>1.33</v>
      </c>
      <c r="M66" s="4">
        <v>0.6</v>
      </c>
      <c r="N66" s="4">
        <v>0.75</v>
      </c>
      <c r="O66" s="13">
        <f t="shared" si="10"/>
        <v>2.67</v>
      </c>
      <c r="P66" s="11">
        <f t="shared" si="11"/>
        <v>0.47619047619047616</v>
      </c>
      <c r="Q66" s="4">
        <v>0.55000000000000004</v>
      </c>
      <c r="R66" s="11">
        <f t="shared" si="7"/>
        <v>7.380952380952388E-2</v>
      </c>
    </row>
  </sheetData>
  <conditionalFormatting sqref="S1 S18:S24 S26:S1048576">
    <cfRule type="containsText" dxfId="8" priority="11" operator="containsText" text="SUPER BTTS">
      <formula>NOT(ISERROR(SEARCH("SUPER BTTS",S1)))</formula>
    </cfRule>
    <cfRule type="cellIs" priority="14" operator="between">
      <formula>"SUPER BTTS"</formula>
      <formula>"SUPER BTTS"</formula>
    </cfRule>
  </conditionalFormatting>
  <conditionalFormatting sqref="U1:U1048576">
    <cfRule type="containsText" dxfId="7" priority="12" operator="containsText" text="NO">
      <formula>NOT(ISERROR(SEARCH("NO",U1)))</formula>
    </cfRule>
    <cfRule type="containsText" dxfId="6" priority="13" operator="containsText" text="YES">
      <formula>NOT(ISERROR(SEARCH("YES",U1)))</formula>
    </cfRule>
  </conditionalFormatting>
  <conditionalFormatting sqref="V7:V9">
    <cfRule type="containsText" dxfId="5" priority="8" operator="containsText" text="NO">
      <formula>NOT(ISERROR(SEARCH("NO",V7)))</formula>
    </cfRule>
    <cfRule type="containsText" dxfId="4" priority="9" operator="containsText" text="YES">
      <formula>NOT(ISERROR(SEARCH("YES",V7)))</formula>
    </cfRule>
  </conditionalFormatting>
  <conditionalFormatting sqref="V16:V17">
    <cfRule type="containsText" dxfId="3" priority="6" operator="containsText" text="NO">
      <formula>NOT(ISERROR(SEARCH("NO",V16)))</formula>
    </cfRule>
    <cfRule type="containsText" dxfId="2" priority="7" operator="containsText" text="YES">
      <formula>NOT(ISERROR(SEARCH("YES",V16)))</formula>
    </cfRule>
  </conditionalFormatting>
  <conditionalFormatting sqref="T1:T1048576">
    <cfRule type="containsText" dxfId="1" priority="1" operator="containsText" text="NO">
      <formula>NOT(ISERROR(SEARCH("NO",T1)))</formula>
    </cfRule>
    <cfRule type="containsText" dxfId="0" priority="2" operator="containsText" text="YES">
      <formula>NOT(ISERROR(SEARCH("YES",T1)))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17</v>
      </c>
    </row>
    <row r="3" spans="1:2" x14ac:dyDescent="0.25">
      <c r="A3" t="s">
        <v>18</v>
      </c>
      <c r="B3">
        <f>COUNTA(BENI_Data!D:D)-1</f>
        <v>65</v>
      </c>
    </row>
    <row r="4" spans="1:2" x14ac:dyDescent="0.25">
      <c r="A4" t="s">
        <v>19</v>
      </c>
      <c r="B4">
        <f>AVERAGE(BENI_Data!R:R)</f>
        <v>8.6354187953737643E-2</v>
      </c>
    </row>
    <row r="5" spans="1:2" x14ac:dyDescent="0.25">
      <c r="A5" t="s">
        <v>20</v>
      </c>
      <c r="B5">
        <f>COUNTIF(BENI_Data!T:T,"GREEN")</f>
        <v>0</v>
      </c>
    </row>
    <row r="6" spans="1:2" x14ac:dyDescent="0.25">
      <c r="A6" t="s">
        <v>21</v>
      </c>
      <c r="B6">
        <f>COUNTIF(BENI_Data!T:T,"PREMIUM")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BENI_Data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X2</cp:lastModifiedBy>
  <dcterms:created xsi:type="dcterms:W3CDTF">2026-03-06T04:55:57Z</dcterms:created>
  <dcterms:modified xsi:type="dcterms:W3CDTF">2026-03-17T03:40:57Z</dcterms:modified>
</cp:coreProperties>
</file>